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illawnaw\Excel\Project\"/>
    </mc:Choice>
  </mc:AlternateContent>
  <bookViews>
    <workbookView xWindow="0" yWindow="0" windowWidth="20490" windowHeight="7620" activeTab="1"/>
  </bookViews>
  <sheets>
    <sheet name="Admin" sheetId="8" r:id="rId1"/>
    <sheet name="POS" sheetId="1" r:id="rId2"/>
    <sheet name="Products" sheetId="7" r:id="rId3"/>
    <sheet name="Orders" sheetId="2" r:id="rId4"/>
    <sheet name="OrderItems" sheetId="3" r:id="rId5"/>
    <sheet name="Customers" sheetId="6" r:id="rId6"/>
    <sheet name="Vendors" sheetId="10" r:id="rId7"/>
    <sheet name="Users" sheetId="9" r:id="rId8"/>
  </sheets>
  <definedNames>
    <definedName name="_xlnm._FilterDatabase" localSheetId="5" hidden="1">Customers!$A$2:$B$6</definedName>
    <definedName name="_xlnm._FilterDatabase" localSheetId="4" hidden="1">OrderItems!$A$2:$J$9</definedName>
    <definedName name="_xlnm._FilterDatabase" localSheetId="3" hidden="1">Orders!$A$2:$G$20</definedName>
    <definedName name="_xlnm._FilterDatabase" localSheetId="2" hidden="1">Products!$A$2:$F$650</definedName>
    <definedName name="_xlnm._FilterDatabase" localSheetId="6" hidden="1">Vendors!$A$2:$B$6</definedName>
    <definedName name="Categories">Admin!$D$4:$I$4</definedName>
    <definedName name="_xlnm.Criteria" localSheetId="4">OrderItems!$N$2:$O$3</definedName>
    <definedName name="_xlnm.Criteria" localSheetId="3">Orders!$K$2:$L$3</definedName>
    <definedName name="_xlnm.Criteria" localSheetId="2">Products!$J$2:$K$3</definedName>
    <definedName name="Customer_ID">OFFSET(Customers!$A$2,1,,COUNTA(Customers!$A$2:$A$9999)-1,1)</definedName>
    <definedName name="Customer_Name">OFFSET(Customers!$B$2,1,,COUNTA(Customers!$B$2:$B$9999)-1,1)</definedName>
    <definedName name="Customer_NamesSorted">OFFSET(Customers!$G$2,1,,COUNTA(Customers!$G$2:$G$9999)-1,1)</definedName>
    <definedName name="_xlnm.Extract" localSheetId="5">Customers!$G$2</definedName>
    <definedName name="_xlnm.Extract" localSheetId="4">OrderItems!$Q$2:$W$2</definedName>
    <definedName name="_xlnm.Extract" localSheetId="3">Orders!$O$2:$Q$2</definedName>
    <definedName name="_xlnm.Extract" localSheetId="2">Products!$N$2:$O$2</definedName>
    <definedName name="_xlnm.Extract" localSheetId="6">Vendors!$G$2</definedName>
    <definedName name="FooterMsg">Admin!$L$5</definedName>
    <definedName name="LogoutBtn">"FooterGrp,Group 1032"</definedName>
    <definedName name="Order_ID">OFFSET(Orders!$A$2,1,,COUNTA(Orders!$A$2:$A$9999)-1,1)</definedName>
    <definedName name="OrderItems_Qty">OFFSET(OrderItems!$F$2,1,,COUNTA(OrderItems!$A$2:$A$99999)-1,1)</definedName>
    <definedName name="OrderItems_SKU">OFFSET(OrderItems!$D$2,1,,COUNTA(OrderItems!$A$2:$A$99999)-1,1)</definedName>
    <definedName name="OrderItems_Type">OFFSET(OrderItems!$B$2,1,,COUNTA(OrderItems!$A$2:$A$99999)-1,1)</definedName>
    <definedName name="_xlnm.Print_Area" localSheetId="1">POS!$I$6:$O$13</definedName>
    <definedName name="Prod_SKU">OFFSET(Products!$A$2,1,,COUNTA(Products!$A$2:$A$9999)-1,1)</definedName>
    <definedName name="Subcategory1">Admin!$D$5:$D$16</definedName>
    <definedName name="Subcategory2">Admin!$E$5:$E$16</definedName>
    <definedName name="Subcategory3">Admin!$F$5:$F$16</definedName>
    <definedName name="Subcategory4">Admin!$G$5:$G$16</definedName>
    <definedName name="Subcategory5">Admin!$H$5:$H$16</definedName>
    <definedName name="Subcategory6">Admin!$I$5:$I$16</definedName>
    <definedName name="TaxName">Admin!$L$3</definedName>
    <definedName name="TaxRate">Admin!$L$4</definedName>
    <definedName name="User_ID">OFFSET(Users!$A$2,1,,COUNTA(Users!$A$2:$A$9999)-1,1)</definedName>
    <definedName name="User_Names">OFFSET(Users!$B$2,1,,COUNTA(Users!$B$2:$B$9999)-1,1)</definedName>
    <definedName name="User_Role">OFFSET(Users!$C$2,1,,COUNTA(Users!$A$2:$A$9999)-1,1)</definedName>
    <definedName name="Vendor_ID">OFFSET(Vendors!$A$2,1,,COUNTA(Vendors!$A$2:$A$9999)-1,1)</definedName>
    <definedName name="Vendor_Name">OFFSET(Vendors!$B$2,1,,COUNTA(Vendors!$B$2:$B$9999)-1,1)</definedName>
    <definedName name="Vendor_NamesSorted">OFFSET(Vendors!$G$2,1,,COUNTA(Vendors!$G$2:$G$9999)-1,1)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4" i="1" l="1"/>
  <c r="A14" i="1" l="1"/>
  <c r="B20" i="1" l="1"/>
  <c r="B19" i="1"/>
  <c r="P1000" i="1" l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B5" i="1"/>
  <c r="N5" i="1" l="1"/>
  <c r="B7" i="1"/>
  <c r="B10" i="1"/>
  <c r="B11" i="1" s="1"/>
  <c r="B3" i="1"/>
  <c r="B4" i="1"/>
  <c r="B13" i="1"/>
  <c r="B14" i="1" s="1"/>
  <c r="I4" i="1"/>
  <c r="B15" i="1" l="1"/>
  <c r="B17" i="1" s="1"/>
  <c r="N3" i="3" l="1"/>
  <c r="K3" i="2"/>
</calcChain>
</file>

<file path=xl/sharedStrings.xml><?xml version="1.0" encoding="utf-8"?>
<sst xmlns="http://schemas.openxmlformats.org/spreadsheetml/2006/main" count="2234" uniqueCount="842">
  <si>
    <t>User</t>
  </si>
  <si>
    <t>Categories</t>
  </si>
  <si>
    <t>Product Name</t>
  </si>
  <si>
    <t>Qty</t>
  </si>
  <si>
    <t>Amount</t>
  </si>
  <si>
    <t>Disc. %</t>
  </si>
  <si>
    <t>Total</t>
  </si>
  <si>
    <t>Tax Name</t>
  </si>
  <si>
    <t>Tax Rate</t>
  </si>
  <si>
    <t>Order ID</t>
  </si>
  <si>
    <t>Qty On Hand</t>
  </si>
  <si>
    <t>User ID</t>
  </si>
  <si>
    <t>User Rights</t>
  </si>
  <si>
    <t>Add Sales</t>
  </si>
  <si>
    <t>Subtotal</t>
  </si>
  <si>
    <t>Total Paid</t>
  </si>
  <si>
    <t>Change</t>
  </si>
  <si>
    <t>Order Load</t>
  </si>
  <si>
    <t>Type</t>
  </si>
  <si>
    <t>Purchase &amp; Sales Orders</t>
  </si>
  <si>
    <t>Sel. Row</t>
  </si>
  <si>
    <t>Status</t>
  </si>
  <si>
    <t>Open</t>
  </si>
  <si>
    <t>Paid</t>
  </si>
  <si>
    <t>Refund</t>
  </si>
  <si>
    <t>Void</t>
  </si>
  <si>
    <t>User:</t>
  </si>
  <si>
    <t>User DB Row</t>
  </si>
  <si>
    <t>Category</t>
  </si>
  <si>
    <t>Subcategories</t>
  </si>
  <si>
    <t>Ord. ID</t>
  </si>
  <si>
    <t>Order On</t>
  </si>
  <si>
    <t>Customers</t>
  </si>
  <si>
    <t>Cust. ID</t>
  </si>
  <si>
    <t>Customer Name</t>
  </si>
  <si>
    <t>Vendors</t>
  </si>
  <si>
    <t>Vend. ID</t>
  </si>
  <si>
    <t>Vendor Name</t>
  </si>
  <si>
    <t>Sorted Vendors</t>
  </si>
  <si>
    <t>Sorted Custmoms</t>
  </si>
  <si>
    <t>Food Categories &amp; Subcategories</t>
  </si>
  <si>
    <t>Drinks.png</t>
  </si>
  <si>
    <t>Bread.png</t>
  </si>
  <si>
    <t>Meat.png</t>
  </si>
  <si>
    <t>Cheese.png</t>
  </si>
  <si>
    <t>Ice-Cream.png</t>
  </si>
  <si>
    <t>Cherry.png</t>
  </si>
  <si>
    <t>Order Results</t>
  </si>
  <si>
    <t>Customer/Vendor</t>
  </si>
  <si>
    <t>Criteria</t>
  </si>
  <si>
    <t>Results</t>
  </si>
  <si>
    <t>Order Row</t>
  </si>
  <si>
    <t>Next Order ID</t>
  </si>
  <si>
    <t>Search Order Row</t>
  </si>
  <si>
    <t>Products</t>
  </si>
  <si>
    <t>Subcategory</t>
  </si>
  <si>
    <t>Strawberry</t>
  </si>
  <si>
    <t>Blueberry</t>
  </si>
  <si>
    <t>Order DB Row</t>
  </si>
  <si>
    <t>SKU/UPC</t>
  </si>
  <si>
    <t>Row</t>
  </si>
  <si>
    <t>Order Items</t>
  </si>
  <si>
    <t>Lemon</t>
  </si>
  <si>
    <t>&lt;&gt;</t>
  </si>
  <si>
    <t>Footer Message</t>
  </si>
  <si>
    <t>ADMIN</t>
  </si>
  <si>
    <t>Manager</t>
  </si>
  <si>
    <t>Staff</t>
  </si>
  <si>
    <t>Trainee</t>
  </si>
  <si>
    <t>Add/Edit/Void/Refund Sales &amp; Purchases</t>
  </si>
  <si>
    <t>Add Sales &amp; Purchases</t>
  </si>
  <si>
    <t>User Name</t>
  </si>
  <si>
    <t>Users</t>
  </si>
  <si>
    <t>Role</t>
  </si>
  <si>
    <t>User Rights &amp; Roles</t>
  </si>
  <si>
    <t>Application Defaults</t>
  </si>
  <si>
    <t>Order Status</t>
  </si>
  <si>
    <t>PURCHASE</t>
  </si>
  <si>
    <t>Enter Order</t>
  </si>
  <si>
    <t>Sel. Result Row</t>
  </si>
  <si>
    <t>User Role</t>
  </si>
  <si>
    <t>Cust./Vend.</t>
  </si>
  <si>
    <t>Scan SKU/UPC</t>
  </si>
  <si>
    <t>Order On:</t>
  </si>
  <si>
    <t>Status:</t>
  </si>
  <si>
    <t>SKU/UPC ID</t>
  </si>
  <si>
    <t>Enter Prod DB Row</t>
  </si>
  <si>
    <t>DB  Row</t>
  </si>
  <si>
    <t>New Customer</t>
  </si>
  <si>
    <t>New Vendor</t>
  </si>
  <si>
    <t>PPN</t>
  </si>
  <si>
    <t>User 3</t>
  </si>
  <si>
    <t>User 2</t>
  </si>
  <si>
    <t>User 1</t>
  </si>
  <si>
    <t>Apel Fuji</t>
  </si>
  <si>
    <t>Jeruk Sunkist</t>
  </si>
  <si>
    <t>Pisang Cavendish</t>
  </si>
  <si>
    <t>Mangga Harum Manis</t>
  </si>
  <si>
    <t>Anggur Merah</t>
  </si>
  <si>
    <t>Semangka</t>
  </si>
  <si>
    <t>Pepaya</t>
  </si>
  <si>
    <t>Melon</t>
  </si>
  <si>
    <t>Nanas</t>
  </si>
  <si>
    <t>Bayam</t>
  </si>
  <si>
    <t>Kangkung</t>
  </si>
  <si>
    <t>Sawi Hijau</t>
  </si>
  <si>
    <t>Selada</t>
  </si>
  <si>
    <t>Brokoli</t>
  </si>
  <si>
    <t>Kol</t>
  </si>
  <si>
    <t>Pokcoy</t>
  </si>
  <si>
    <t>Buncis</t>
  </si>
  <si>
    <t>Kacang Panjang</t>
  </si>
  <si>
    <t>Kentang</t>
  </si>
  <si>
    <t>Wortel</t>
  </si>
  <si>
    <t>Ubi Jalar</t>
  </si>
  <si>
    <t>Lobak</t>
  </si>
  <si>
    <t>Bawang Merah</t>
  </si>
  <si>
    <t>Bawang Putih</t>
  </si>
  <si>
    <t>Jahe</t>
  </si>
  <si>
    <t>Kunyit</t>
  </si>
  <si>
    <t>Kencur</t>
  </si>
  <si>
    <t>Durian</t>
  </si>
  <si>
    <t>Rambutan</t>
  </si>
  <si>
    <t>Nangka</t>
  </si>
  <si>
    <t>Sirsak</t>
  </si>
  <si>
    <t>Salak</t>
  </si>
  <si>
    <t>Manggis</t>
  </si>
  <si>
    <t>Duku</t>
  </si>
  <si>
    <t>Jambu Biji</t>
  </si>
  <si>
    <t>Kelapa</t>
  </si>
  <si>
    <t>Anggur Hijau</t>
  </si>
  <si>
    <t>Kiwi</t>
  </si>
  <si>
    <t>Cherry</t>
  </si>
  <si>
    <t>Apel Granny Smith</t>
  </si>
  <si>
    <t>Pear</t>
  </si>
  <si>
    <t>Plum</t>
  </si>
  <si>
    <t>Tomat</t>
  </si>
  <si>
    <t>Timun</t>
  </si>
  <si>
    <t>Terong</t>
  </si>
  <si>
    <t>Cabai Merah</t>
  </si>
  <si>
    <t>Cabai Rawit</t>
  </si>
  <si>
    <t>Paprika Merah</t>
  </si>
  <si>
    <t>Paprika Kuning</t>
  </si>
  <si>
    <t>Paprika Hijau</t>
  </si>
  <si>
    <t>Labu Siam</t>
  </si>
  <si>
    <t>Bayam Organik</t>
  </si>
  <si>
    <t>Kangkung Organik</t>
  </si>
  <si>
    <t>Sawi Organik</t>
  </si>
  <si>
    <t>Selada Organik</t>
  </si>
  <si>
    <t>Brokoli Organik</t>
  </si>
  <si>
    <t>Wortel Organik</t>
  </si>
  <si>
    <t>Tomat Organik</t>
  </si>
  <si>
    <t>Timun Organik</t>
  </si>
  <si>
    <t>Buncis Organik</t>
  </si>
  <si>
    <t>Daun Mint</t>
  </si>
  <si>
    <t>Daun Kemangi</t>
  </si>
  <si>
    <t>Daun Kelor</t>
  </si>
  <si>
    <t>Serai</t>
  </si>
  <si>
    <t>Daun Pandan</t>
  </si>
  <si>
    <t>Daun Salam</t>
  </si>
  <si>
    <t>Daun Seledri</t>
  </si>
  <si>
    <t>Daun Bawang</t>
  </si>
  <si>
    <t>Daun Jeruk</t>
  </si>
  <si>
    <t>Jamur Kancing</t>
  </si>
  <si>
    <t>Jamur Tiram</t>
  </si>
  <si>
    <t>Jamur Enoki</t>
  </si>
  <si>
    <t>Jamur Kuping</t>
  </si>
  <si>
    <t>Jamur Shimeji</t>
  </si>
  <si>
    <t>Jamur Shiitake</t>
  </si>
  <si>
    <t>Jamur Merang</t>
  </si>
  <si>
    <t>Jamur Portobello</t>
  </si>
  <si>
    <t>Jamur Maitake</t>
  </si>
  <si>
    <t>Kacang Tanah</t>
  </si>
  <si>
    <t>Kacang Mede</t>
  </si>
  <si>
    <t>Kacang Almond</t>
  </si>
  <si>
    <t>Kacang Kenari</t>
  </si>
  <si>
    <t>Kacang Merah</t>
  </si>
  <si>
    <t>Kacang Hijau</t>
  </si>
  <si>
    <t>Kacang Polong</t>
  </si>
  <si>
    <t>Kacang Kedelai</t>
  </si>
  <si>
    <t>Kacang Hitam</t>
  </si>
  <si>
    <t>Beras Merah</t>
  </si>
  <si>
    <t>Beras Hitam</t>
  </si>
  <si>
    <t>Beras Coklat</t>
  </si>
  <si>
    <t>Quinoa</t>
  </si>
  <si>
    <t>Chia Seed</t>
  </si>
  <si>
    <t>Flax Seed</t>
  </si>
  <si>
    <t>Millet</t>
  </si>
  <si>
    <t>Kinoa</t>
  </si>
  <si>
    <t>Jagung Pipil</t>
  </si>
  <si>
    <t>Kurma</t>
  </si>
  <si>
    <t>Kismis</t>
  </si>
  <si>
    <t>Aprikot Kering</t>
  </si>
  <si>
    <t>Plum Kering</t>
  </si>
  <si>
    <t>Mangga Kering</t>
  </si>
  <si>
    <t>Pisang Sale</t>
  </si>
  <si>
    <t>Buah Tin</t>
  </si>
  <si>
    <t>Blueberry Kering</t>
  </si>
  <si>
    <t>Cranberry Kering</t>
  </si>
  <si>
    <t>Buah Segar</t>
  </si>
  <si>
    <t>Sayuran Hijau</t>
  </si>
  <si>
    <t>Sayuran Umbi</t>
  </si>
  <si>
    <t>Buah Tropis</t>
  </si>
  <si>
    <t>Buah Impor</t>
  </si>
  <si>
    <t>Sayuran Buah</t>
  </si>
  <si>
    <t>Sayuran Organik</t>
  </si>
  <si>
    <t>Herbal Segar</t>
  </si>
  <si>
    <t>Jamur Segar</t>
  </si>
  <si>
    <t>Kacang-kacangan</t>
  </si>
  <si>
    <t>Biji-bijian</t>
  </si>
  <si>
    <t>Buah Kering</t>
  </si>
  <si>
    <t xml:space="preserve"> Susu Segar          </t>
  </si>
  <si>
    <t xml:space="preserve"> Susu Bubuk          </t>
  </si>
  <si>
    <t xml:space="preserve"> Susu Kental Manis   </t>
  </si>
  <si>
    <t xml:space="preserve"> Yogurt              </t>
  </si>
  <si>
    <t xml:space="preserve"> Keju                </t>
  </si>
  <si>
    <t xml:space="preserve"> Susu Kedelai        </t>
  </si>
  <si>
    <t xml:space="preserve"> Susu Almond         </t>
  </si>
  <si>
    <t xml:space="preserve"> Es Krim             </t>
  </si>
  <si>
    <t xml:space="preserve"> Mentega             </t>
  </si>
  <si>
    <t xml:space="preserve"> Susu Bebas Laktosa  </t>
  </si>
  <si>
    <t xml:space="preserve"> Whipping Cream      </t>
  </si>
  <si>
    <t xml:space="preserve"> Susu Oat            </t>
  </si>
  <si>
    <t xml:space="preserve"> Sayuran Kaleng                </t>
  </si>
  <si>
    <t xml:space="preserve"> Buah Kaleng                   </t>
  </si>
  <si>
    <t xml:space="preserve"> Daging Kaleng                 </t>
  </si>
  <si>
    <t xml:space="preserve"> Makanan Laut Kaleng           </t>
  </si>
  <si>
    <t xml:space="preserve"> Sup Kaleng                    </t>
  </si>
  <si>
    <t xml:space="preserve"> Saus Kaleng                   </t>
  </si>
  <si>
    <t xml:space="preserve"> Kacang Kaleng                 </t>
  </si>
  <si>
    <t xml:space="preserve"> Makanan Siap Saji Kaleng       </t>
  </si>
  <si>
    <t xml:space="preserve"> Makanan Penutup Kaleng        </t>
  </si>
  <si>
    <t xml:space="preserve"> Makanan Kaleng Berbumbu       </t>
  </si>
  <si>
    <t xml:space="preserve"> Makanan Kaleng Bebas Gluten   </t>
  </si>
  <si>
    <t xml:space="preserve"> Makanan Kaleng Diet/Sehat     </t>
  </si>
  <si>
    <t xml:space="preserve"> Daging Beku                  </t>
  </si>
  <si>
    <t xml:space="preserve"> Ikan dan Makanan Laut Beku  </t>
  </si>
  <si>
    <t xml:space="preserve"> Sayuran Beku                </t>
  </si>
  <si>
    <t xml:space="preserve"> Buah Beku                   </t>
  </si>
  <si>
    <t xml:space="preserve"> Makanan Siap Saji Beku       </t>
  </si>
  <si>
    <t xml:space="preserve"> Roti dan Bakery Beku         </t>
  </si>
  <si>
    <t xml:space="preserve"> Saus dan Bumbu Beku          </t>
  </si>
  <si>
    <t xml:space="preserve"> Makanan Penutup Beku          </t>
  </si>
  <si>
    <t xml:space="preserve"> Kacang dan Bijian Beku         </t>
  </si>
  <si>
    <t xml:space="preserve"> Makanan Bebas Gluten Beku      </t>
  </si>
  <si>
    <t xml:space="preserve"> Makanan Diet dan Sehat Beku    </t>
  </si>
  <si>
    <t xml:space="preserve"> Makanan Tradisional Beku       </t>
  </si>
  <si>
    <t xml:space="preserve"> Roti Putih       </t>
  </si>
  <si>
    <t xml:space="preserve"> Roti Specialty   </t>
  </si>
  <si>
    <t xml:space="preserve"> Roti Flatbread   </t>
  </si>
  <si>
    <t xml:space="preserve"> Roti Focaccia    </t>
  </si>
  <si>
    <t xml:space="preserve"> Roti Croissant   </t>
  </si>
  <si>
    <t xml:space="preserve"> Roti Bagel       </t>
  </si>
  <si>
    <t xml:space="preserve"> Roti Manis      </t>
  </si>
  <si>
    <t xml:space="preserve"> Roti Gluten-Free</t>
  </si>
  <si>
    <t xml:space="preserve"> Roti Sourdough  </t>
  </si>
  <si>
    <t xml:space="preserve"> Roti Rye         </t>
  </si>
  <si>
    <t xml:space="preserve"> Roti Multigrain  </t>
  </si>
  <si>
    <t xml:space="preserve"> Roti Gandum      </t>
  </si>
  <si>
    <t xml:space="preserve"> Makanan Ringan Instan        </t>
  </si>
  <si>
    <t xml:space="preserve"> Kacang Panggang              </t>
  </si>
  <si>
    <t xml:space="preserve"> Kue Basah                    </t>
  </si>
  <si>
    <t xml:space="preserve"> Snack Berbasis Biji-bijian   </t>
  </si>
  <si>
    <t xml:space="preserve"> Makanan Ringan Manis     </t>
  </si>
  <si>
    <t xml:space="preserve"> Makanan Ringan Goreng   </t>
  </si>
  <si>
    <t xml:space="preserve"> Popcorn                 </t>
  </si>
  <si>
    <t xml:space="preserve"> Biskuit                  </t>
  </si>
  <si>
    <t xml:space="preserve"> Kue Kering               </t>
  </si>
  <si>
    <t xml:space="preserve"> Gurita Kering            </t>
  </si>
  <si>
    <t xml:space="preserve"> Snack Kacang             </t>
  </si>
  <si>
    <t xml:space="preserve"> Keripik                  </t>
  </si>
  <si>
    <t>Daging Sapi Panggang Kaleng</t>
  </si>
  <si>
    <t>Ayam Kari Kaleng</t>
  </si>
  <si>
    <t>Tuna Bumbu Rica-Rica Kaleng</t>
  </si>
  <si>
    <t>Sarden Saus Tomat Kaleng</t>
  </si>
  <si>
    <t>Daging Rendang Kaleng</t>
  </si>
  <si>
    <t>Ikan Tenggiri Bumbu Balado Kaleng</t>
  </si>
  <si>
    <t>Sup Ayam Bebas Gluten Kaleng</t>
  </si>
  <si>
    <t>Ikan Tuna Bebas Gluten Kaleng</t>
  </si>
  <si>
    <t>Daging Sapi Bebas Gluten Kaleng</t>
  </si>
  <si>
    <t>Sayuran Campur Bebas Gluten Kaleng</t>
  </si>
  <si>
    <t>Sup Tomat Rendah Garam Kaleng</t>
  </si>
  <si>
    <t>Kacang Panggang Rendah Garam Kaleng</t>
  </si>
  <si>
    <t>Sup Kacang Merah Organik Kaleng</t>
  </si>
  <si>
    <t>Wortel Organik Kaleng</t>
  </si>
  <si>
    <t>Buah Campur Tanpa Gula Kaleng</t>
  </si>
  <si>
    <t>Buah Kaleng Tanpa Gula</t>
  </si>
  <si>
    <t>Sayuran Kaleng Diet</t>
  </si>
  <si>
    <t>Sup Ayam Diet</t>
  </si>
  <si>
    <t>Tuna Kaleng Sehat</t>
  </si>
  <si>
    <t>Kacang Tanpa Gula</t>
  </si>
  <si>
    <t>Sup Sayuran Diet</t>
  </si>
  <si>
    <t>Ayam Kaleng Diet</t>
  </si>
  <si>
    <t>Sayur Campur Sehat</t>
  </si>
  <si>
    <t>Ikan Kaleng Sehat</t>
  </si>
  <si>
    <t>Kacang Walnut</t>
  </si>
  <si>
    <t>Pie Apel</t>
  </si>
  <si>
    <t>Tart Buah</t>
  </si>
  <si>
    <t>Buah dan Sayuran</t>
  </si>
  <si>
    <t>Produk Susu</t>
  </si>
  <si>
    <t>Makanan Kaleng</t>
  </si>
  <si>
    <t>Makanan Beku</t>
  </si>
  <si>
    <t>Produk Roti</t>
  </si>
  <si>
    <t>Makanan Ringan</t>
  </si>
  <si>
    <t>Kue Cubir Kismis</t>
  </si>
  <si>
    <t>Susu Sapi Murni</t>
  </si>
  <si>
    <t>Susu Kambing Murni</t>
  </si>
  <si>
    <t>Susu UHT Plain</t>
  </si>
  <si>
    <t>Susu UHT Full Cream</t>
  </si>
  <si>
    <t>Susu UHT Low Fat</t>
  </si>
  <si>
    <t>Susu UHT Skimmed</t>
  </si>
  <si>
    <t>Susu Pasteurisasi</t>
  </si>
  <si>
    <t>Susu Steril</t>
  </si>
  <si>
    <t>Susu Flavored (Coklat)</t>
  </si>
  <si>
    <t>Susu Bubuk Full Cream</t>
  </si>
  <si>
    <t>Susu Bubuk Low Fat</t>
  </si>
  <si>
    <t>Susu Bubuk Skimmed</t>
  </si>
  <si>
    <t>Susu Bubuk Anak-anak</t>
  </si>
  <si>
    <t>Susu Bubuk Dewasa</t>
  </si>
  <si>
    <t>Susu Bubuk Lansia</t>
  </si>
  <si>
    <t>Susu Bubuk Ibu Hamil</t>
  </si>
  <si>
    <t>Susu Bubuk Tanpa Gula</t>
  </si>
  <si>
    <t>Susu Bubuk Rasa Coklat</t>
  </si>
  <si>
    <t>Susu Kental Manis Plain</t>
  </si>
  <si>
    <t>Susu Kental Manis Coklat</t>
  </si>
  <si>
    <t>Susu Kental Manis Strawberry</t>
  </si>
  <si>
    <t>Susu Kental Manis Vanilla</t>
  </si>
  <si>
    <t>Susu Kental Manis Full Cream</t>
  </si>
  <si>
    <t>Susu Kental Manis Rendah Lemak</t>
  </si>
  <si>
    <t>Susu Kental Manis Tanpa Gula</t>
  </si>
  <si>
    <t>Susu Kental Manis Rasa Durian</t>
  </si>
  <si>
    <t>Susu Kental Manis Rasa Melon</t>
  </si>
  <si>
    <t>Yogurt Plain</t>
  </si>
  <si>
    <t>Yogurt Rasa Stroberi</t>
  </si>
  <si>
    <t>Yogurt Rasa Mangga</t>
  </si>
  <si>
    <t>Yogurt Rasa Blueberry</t>
  </si>
  <si>
    <t>Yogurt Rasa Peach</t>
  </si>
  <si>
    <t>Greek Yogurt</t>
  </si>
  <si>
    <t>Yogurt Rendah Lemak</t>
  </si>
  <si>
    <t>Yogurt Tanpa Gula</t>
  </si>
  <si>
    <t>Yogurt Rasa Coklat</t>
  </si>
  <si>
    <t>Keju Cheddar</t>
  </si>
  <si>
    <t>Keju Mozzarella</t>
  </si>
  <si>
    <t>Keju Parmesan</t>
  </si>
  <si>
    <t>Keju Edam</t>
  </si>
  <si>
    <t>Keju Gouda</t>
  </si>
  <si>
    <t>Keju Swiss</t>
  </si>
  <si>
    <t>Keju Ricotta</t>
  </si>
  <si>
    <t>Keju Cottage</t>
  </si>
  <si>
    <t>Keju Cream Cheese</t>
  </si>
  <si>
    <t>Susu Kedelai Plain</t>
  </si>
  <si>
    <t>Susu Kedelai Vanilla</t>
  </si>
  <si>
    <t>Susu Kedelai Coklat</t>
  </si>
  <si>
    <t>Susu Kedelai Stroberi</t>
  </si>
  <si>
    <t>Susu Kedelai Rendah Gula</t>
  </si>
  <si>
    <t>Susu Kedelai Tinggi Kalsium</t>
  </si>
  <si>
    <t>Susu Kedelai Organik</t>
  </si>
  <si>
    <t>Susu Kedelai Rasa Melon</t>
  </si>
  <si>
    <t>Susu Kedelai Rasa Durian</t>
  </si>
  <si>
    <t>Susu Almond Plain</t>
  </si>
  <si>
    <t>Susu Almond Vanilla</t>
  </si>
  <si>
    <t>Susu Almond Coklat</t>
  </si>
  <si>
    <t>Susu Almond Stroberi</t>
  </si>
  <si>
    <t>Susu Almond Rendah Gula</t>
  </si>
  <si>
    <t>Susu Almond Tinggi Kalsium</t>
  </si>
  <si>
    <t>Susu Almond Organik</t>
  </si>
  <si>
    <t>Susu Almond Rasa Melon</t>
  </si>
  <si>
    <t>Susu Almond Rasa Durian</t>
  </si>
  <si>
    <t>Es Krim Vanilla</t>
  </si>
  <si>
    <t>Es Krim Coklat</t>
  </si>
  <si>
    <t>Es Krim Stroberi</t>
  </si>
  <si>
    <t>Es Krim Mangga</t>
  </si>
  <si>
    <t>Es Krim Durian</t>
  </si>
  <si>
    <t>Es Krim Matcha</t>
  </si>
  <si>
    <t>Es Krim Cookies &amp; Cream</t>
  </si>
  <si>
    <t>Es Krim Mocca</t>
  </si>
  <si>
    <t>Es Krim Rum Raisin</t>
  </si>
  <si>
    <t>Mentega Tawar</t>
  </si>
  <si>
    <t>Mentega Asin</t>
  </si>
  <si>
    <t>Mentega Rendah Lemak</t>
  </si>
  <si>
    <t>Mentega Organik</t>
  </si>
  <si>
    <t>Mentega Herbal</t>
  </si>
  <si>
    <t>Mentega Krim</t>
  </si>
  <si>
    <t>Mentega Tanpa Gula</t>
  </si>
  <si>
    <t>Mentega Rasa Coklat</t>
  </si>
  <si>
    <t>Mentega Rasa Stroberi</t>
  </si>
  <si>
    <t>Susu Bebas Laktosa Plain</t>
  </si>
  <si>
    <t>Susu Bebas Laktosa Vanilla</t>
  </si>
  <si>
    <t>Susu Bebas Laktosa Coklat</t>
  </si>
  <si>
    <t>Susu Bebas Laktosa Stroberi</t>
  </si>
  <si>
    <t>Susu Bebas Laktosa Rendah Lemak</t>
  </si>
  <si>
    <t>Susu Bebas Laktosa Tinggi Kalsium</t>
  </si>
  <si>
    <t>Susu Bebas Laktosa Organik</t>
  </si>
  <si>
    <t>Susu Bebas Laktosa Rasa Melon</t>
  </si>
  <si>
    <t>Susu Bebas Laktosa Rasa Durian</t>
  </si>
  <si>
    <t>Whipping Cream Cair</t>
  </si>
  <si>
    <t>Whipping Cream Bubuk</t>
  </si>
  <si>
    <t>Whipping Cream Non-Dairy</t>
  </si>
  <si>
    <t>Whipping Cream Rendah Lemak</t>
  </si>
  <si>
    <t>Whipping Cream Organik</t>
  </si>
  <si>
    <t>Whipping Cream Vanilla</t>
  </si>
  <si>
    <t>Whipping Cream Coklat</t>
  </si>
  <si>
    <t>Whipping Cream Stroberi</t>
  </si>
  <si>
    <t>Whipping Cream Rasa Mangga</t>
  </si>
  <si>
    <t>Susu Oat Plain</t>
  </si>
  <si>
    <t>Susu Oat Vanilla</t>
  </si>
  <si>
    <t>Susu Oat Coklat</t>
  </si>
  <si>
    <t>Susu Oat Stroberi</t>
  </si>
  <si>
    <t>Susu Oat Rendah Gula</t>
  </si>
  <si>
    <t>Susu Oat Tinggi Kalsium</t>
  </si>
  <si>
    <t>Susu Oat Organik</t>
  </si>
  <si>
    <t>Susu Oat Rasa Melon</t>
  </si>
  <si>
    <t>Susu Oat Rasa Durian</t>
  </si>
  <si>
    <t>Buncis Kaleng</t>
  </si>
  <si>
    <t>Kentang Kaleng</t>
  </si>
  <si>
    <t>Jagung Manis Organik Kaleng</t>
  </si>
  <si>
    <t>Tomat Ceri Kaleng</t>
  </si>
  <si>
    <t>Nanas Kaleng</t>
  </si>
  <si>
    <t>Peach Kaleng</t>
  </si>
  <si>
    <t>Pear Kaleng</t>
  </si>
  <si>
    <t>Mangga Kaleng</t>
  </si>
  <si>
    <t>Apel Kaleng</t>
  </si>
  <si>
    <t>Ceri Kaleng</t>
  </si>
  <si>
    <t>Strawberi Kaleng</t>
  </si>
  <si>
    <t>Blueberry Kaleng</t>
  </si>
  <si>
    <t>Jambu Kaleng</t>
  </si>
  <si>
    <t>Corned Beef Kaleng</t>
  </si>
  <si>
    <t>Daging Ayam Kaleng</t>
  </si>
  <si>
    <t>Daging Sapi Kaleng</t>
  </si>
  <si>
    <t>Daging Kambing Kaleng</t>
  </si>
  <si>
    <t>Daging Sapi Cincang Kaleng</t>
  </si>
  <si>
    <t>Sosis Kaleng</t>
  </si>
  <si>
    <t>Rendang Kaleng</t>
  </si>
  <si>
    <t>Daging Ayam Suwir Kaleng</t>
  </si>
  <si>
    <t>Tuna Kaleng</t>
  </si>
  <si>
    <t>Sarden Kaleng</t>
  </si>
  <si>
    <t>Salmon Kaleng</t>
  </si>
  <si>
    <t>Makarel Kaleng</t>
  </si>
  <si>
    <t>Herring Kaleng</t>
  </si>
  <si>
    <t>Cumi Kaleng</t>
  </si>
  <si>
    <t>Kerang Kaleng</t>
  </si>
  <si>
    <t>Ikan Tuna Olahan Kaleng</t>
  </si>
  <si>
    <t>Ikan Kembung Kaleng</t>
  </si>
  <si>
    <t>Sup Ayam Kaleng</t>
  </si>
  <si>
    <t>Sup Sayuran Kaleng</t>
  </si>
  <si>
    <t>Sup Krim Jagung Kaleng</t>
  </si>
  <si>
    <t>Sup Buntut Kaleng</t>
  </si>
  <si>
    <t>Sup Kacang Merah Kaleng</t>
  </si>
  <si>
    <t>Sup Daging Sapi Kaleng</t>
  </si>
  <si>
    <t>Sup Ikan Kaleng</t>
  </si>
  <si>
    <t>Sup Tom Yum Kaleng</t>
  </si>
  <si>
    <t>Sup Bebek Kaleng</t>
  </si>
  <si>
    <t>Saus Tomat Kaleng</t>
  </si>
  <si>
    <t>Saus Bolognese Kaleng</t>
  </si>
  <si>
    <t>Saus BBQ Kaleng</t>
  </si>
  <si>
    <t>Saus Kacang Kaleng</t>
  </si>
  <si>
    <t>Saus Marinara Kaleng</t>
  </si>
  <si>
    <t>Saus Salsa Kaleng</t>
  </si>
  <si>
    <t>Saus Teriyaki Kaleng</t>
  </si>
  <si>
    <t>Saus Alfredo Kaleng</t>
  </si>
  <si>
    <t>Saus Cili Kaleng</t>
  </si>
  <si>
    <t>Kacang Merah Kaleng</t>
  </si>
  <si>
    <t>Kacang Hitam Kaleng</t>
  </si>
  <si>
    <t>Chickpeas Kaleng</t>
  </si>
  <si>
    <t>Kacang Hijau Kaleng</t>
  </si>
  <si>
    <t>Kacang Polong Kaleng</t>
  </si>
  <si>
    <t>Kacang Edamame Kaleng</t>
  </si>
  <si>
    <t>Kacang Almond Kaleng</t>
  </si>
  <si>
    <t>Kacang Kenari Kaleng</t>
  </si>
  <si>
    <t>Kacang Mete Kaleng</t>
  </si>
  <si>
    <t>Ravioli Kaleng</t>
  </si>
  <si>
    <t>Lasagna Kaleng</t>
  </si>
  <si>
    <t>Spaghetti Kaleng</t>
  </si>
  <si>
    <t>Macaroni Kaleng</t>
  </si>
  <si>
    <t>Chili Con Carne Kaleng</t>
  </si>
  <si>
    <t>Beef Stroganoff Kaleng</t>
  </si>
  <si>
    <t>Beef Lasagna Kaleng</t>
  </si>
  <si>
    <t>Chicken Alfredo Kaleng</t>
  </si>
  <si>
    <t>Tuna Casserole Kaleng</t>
  </si>
  <si>
    <t>Puding Kaleng</t>
  </si>
  <si>
    <t>Pie Buah Kaleng</t>
  </si>
  <si>
    <t>Krim Kue Kaleng</t>
  </si>
  <si>
    <t>Pudding Cokelat Kaleng</t>
  </si>
  <si>
    <t>Mousse Kaleng</t>
  </si>
  <si>
    <t>Kompot Kaleng</t>
  </si>
  <si>
    <t>Gelatin Buah Kaleng</t>
  </si>
  <si>
    <t>Puding Kopi Kaleng</t>
  </si>
  <si>
    <t>Krim Vanilla Kaleng</t>
  </si>
  <si>
    <t>Curry Daging Kaleng</t>
  </si>
  <si>
    <t>Bumbu Tacos Kaleng</t>
  </si>
  <si>
    <t>Bumbu Pasta Kaleng</t>
  </si>
  <si>
    <t>Cazuela Kaleng</t>
  </si>
  <si>
    <t>Gulai Kaleng</t>
  </si>
  <si>
    <t>Bumbu Kambing Kaleng</t>
  </si>
  <si>
    <t>Daging Sapi Beku</t>
  </si>
  <si>
    <t>Daging Ayam Beku</t>
  </si>
  <si>
    <t>Daging Kambing Beku</t>
  </si>
  <si>
    <t>Daging Sapi Cincang Beku</t>
  </si>
  <si>
    <t>Daging Ayam Fillet Beku</t>
  </si>
  <si>
    <t>Daging Domba Beku</t>
  </si>
  <si>
    <t>Daging Sapi Sirloin Beku</t>
  </si>
  <si>
    <t>Daging Ayam Pedas Beku</t>
  </si>
  <si>
    <t>Daging Kambing Cincang Beku</t>
  </si>
  <si>
    <t>Salmon Beku</t>
  </si>
  <si>
    <t>Udang Beku</t>
  </si>
  <si>
    <t>Cumi Beku</t>
  </si>
  <si>
    <t>Ikan Tuna Beku</t>
  </si>
  <si>
    <t>Ikan Kembung Beku</t>
  </si>
  <si>
    <t>Kerang Beku</t>
  </si>
  <si>
    <t>Ikan Kakap Beku</t>
  </si>
  <si>
    <t>Fillet Ikan Tenggiri Beku</t>
  </si>
  <si>
    <t>Ikan Mas Beku</t>
  </si>
  <si>
    <t>Brokoli Beku</t>
  </si>
  <si>
    <t>Wortel Beku</t>
  </si>
  <si>
    <t>Kacang Polong Beku</t>
  </si>
  <si>
    <t>Jagung Manis Beku</t>
  </si>
  <si>
    <t>Bayam Beku</t>
  </si>
  <si>
    <t>Kembang Kol Beku</t>
  </si>
  <si>
    <t>Buncis Beku</t>
  </si>
  <si>
    <t>Terong Beku</t>
  </si>
  <si>
    <t>Paprika Beku</t>
  </si>
  <si>
    <t>Stroberi Beku</t>
  </si>
  <si>
    <t>Blueberry Beku</t>
  </si>
  <si>
    <t>Pisang Beku</t>
  </si>
  <si>
    <t>Mangga Beku</t>
  </si>
  <si>
    <t>Kiwi Beku</t>
  </si>
  <si>
    <t>Ceri Beku</t>
  </si>
  <si>
    <t>Raspberry Beku</t>
  </si>
  <si>
    <t>Apel Beku</t>
  </si>
  <si>
    <t>Jambu Beku</t>
  </si>
  <si>
    <t>Pizza Beku</t>
  </si>
  <si>
    <t>Burger Beku</t>
  </si>
  <si>
    <t>Lasagna Beku</t>
  </si>
  <si>
    <t>Nugget Ayam Beku</t>
  </si>
  <si>
    <t>Pasta Beku</t>
  </si>
  <si>
    <t>Chicken Katsu Beku</t>
  </si>
  <si>
    <t>Spring Roll Beku</t>
  </si>
  <si>
    <t>Ravioli Beku</t>
  </si>
  <si>
    <t>Quiche Beku</t>
  </si>
  <si>
    <t>Croissant Beku</t>
  </si>
  <si>
    <t>Roti Isi Beku</t>
  </si>
  <si>
    <t>Baguette Beku</t>
  </si>
  <si>
    <t>Donat Beku</t>
  </si>
  <si>
    <t>Muffin Beku</t>
  </si>
  <si>
    <t>Danish Pastry Beku</t>
  </si>
  <si>
    <t>Bread Roll Beku</t>
  </si>
  <si>
    <t>Scone Beku</t>
  </si>
  <si>
    <t>Bagel Beku</t>
  </si>
  <si>
    <t>Saus Tomat Beku</t>
  </si>
  <si>
    <t>Bumbu Kari Beku</t>
  </si>
  <si>
    <t>Saus BBQ Beku</t>
  </si>
  <si>
    <t>Saus Marinara Beku</t>
  </si>
  <si>
    <t>Saus Cili Beku</t>
  </si>
  <si>
    <t>Saus Teriyaki Beku</t>
  </si>
  <si>
    <t>Saus Salsa Beku</t>
  </si>
  <si>
    <t>Bumbu Pasta Beku</t>
  </si>
  <si>
    <t>Bumbu Tacos Beku</t>
  </si>
  <si>
    <t>Es Krim Beku</t>
  </si>
  <si>
    <t>Sorbet Beku</t>
  </si>
  <si>
    <t>Kue Beku</t>
  </si>
  <si>
    <t>Puding Beku</t>
  </si>
  <si>
    <t>Mousse Beku</t>
  </si>
  <si>
    <t>Gelatin Beku</t>
  </si>
  <si>
    <t>Pie Buah Beku</t>
  </si>
  <si>
    <t>Cake Beku</t>
  </si>
  <si>
    <t>Tiramisu Beku</t>
  </si>
  <si>
    <t>Kacang Almond Beku</t>
  </si>
  <si>
    <t>Biji Chia Beku</t>
  </si>
  <si>
    <t>Kacang Mete Beku</t>
  </si>
  <si>
    <t>Kacang Walnuts Beku</t>
  </si>
  <si>
    <t>Kacang Hazelnut Beku</t>
  </si>
  <si>
    <t>Biji Labu Beku</t>
  </si>
  <si>
    <t>Kacang Pinus Beku</t>
  </si>
  <si>
    <t>Biji Flax Beku</t>
  </si>
  <si>
    <t>Kacang Pecans Beku</t>
  </si>
  <si>
    <t>Pizza Bebas Gluten Beku</t>
  </si>
  <si>
    <t>Roti Bebas Gluten Beku</t>
  </si>
  <si>
    <t>Nugget Bebas Gluten Beku</t>
  </si>
  <si>
    <t>Pasta Bebas Gluten Beku</t>
  </si>
  <si>
    <t>Pancake Bebas Gluten Beku</t>
  </si>
  <si>
    <t>Croissant Bebas Gluten Beku</t>
  </si>
  <si>
    <t>Muffin Bebas Gluten Beku</t>
  </si>
  <si>
    <t>Bagel Bebas Gluten Beku</t>
  </si>
  <si>
    <t>Roti Isi Bebas Gluten Beku</t>
  </si>
  <si>
    <t>Smoothie Bebas Kalori Beku</t>
  </si>
  <si>
    <t>Makanan Rendah Kalori Beku</t>
  </si>
  <si>
    <t>Makanan Tinggi Protein Beku</t>
  </si>
  <si>
    <t>Salad Sehat Beku</t>
  </si>
  <si>
    <t>Sup Diet Beku</t>
  </si>
  <si>
    <t>Snack Sehat Beku</t>
  </si>
  <si>
    <t>Menu Diet Beku</t>
  </si>
  <si>
    <t>Smoothie Protein Beku</t>
  </si>
  <si>
    <t>Makanan Rendah Lemak Beku</t>
  </si>
  <si>
    <t>Dim Sum Beku</t>
  </si>
  <si>
    <t>Bakso Beku</t>
  </si>
  <si>
    <t>Pangsit Beku</t>
  </si>
  <si>
    <t>Kebab Beku</t>
  </si>
  <si>
    <t>Lumpia Beku</t>
  </si>
  <si>
    <t>Samosa Beku</t>
  </si>
  <si>
    <t>Satay Beku</t>
  </si>
  <si>
    <t>Ayam Goreng Beku</t>
  </si>
  <si>
    <t>Nasi Goreng Beku</t>
  </si>
  <si>
    <t>Roti Tawar Putih</t>
  </si>
  <si>
    <t>Roti Sandwich Putih</t>
  </si>
  <si>
    <t>Roti Tawar Gandum Putih</t>
  </si>
  <si>
    <t>Roti Tawar Cokelat</t>
  </si>
  <si>
    <t>Roti Tawar Dengan Susu</t>
  </si>
  <si>
    <t>Roti Tawar Dengan Keju</t>
  </si>
  <si>
    <t>Roti Tawar Ekstra Lembut</t>
  </si>
  <si>
    <t>Roti Tawar Multi Grain</t>
  </si>
  <si>
    <t>Roti Tawar Roti Panggang</t>
  </si>
  <si>
    <t>Roti Gandum Utuh</t>
  </si>
  <si>
    <t>Roti Gandum Kasar</t>
  </si>
  <si>
    <t>Roti Gandum Sehat</t>
  </si>
  <si>
    <t>Roti Gandum Sederhana</t>
  </si>
  <si>
    <t>Roti Gandum Multigrain</t>
  </si>
  <si>
    <t>Roti Gandum Roti Panggang</t>
  </si>
  <si>
    <t>Roti Gandum dengan Kacang</t>
  </si>
  <si>
    <t>Roti Gandum Roti Isi</t>
  </si>
  <si>
    <t>Roti Gandum dengan Biji</t>
  </si>
  <si>
    <t>Roti Multigrain</t>
  </si>
  <si>
    <t>Roti Multigrain dengan Biji</t>
  </si>
  <si>
    <t>Roti Multigrain Sehat</t>
  </si>
  <si>
    <t>Roti Multigrain Roti Panggang</t>
  </si>
  <si>
    <t>Roti Multigrain Dengan Keju</t>
  </si>
  <si>
    <t>Roti Multigrain Dengan Kacang</t>
  </si>
  <si>
    <t>Roti Multigrain Cokelat</t>
  </si>
  <si>
    <t>Roti Multigrain Brioche</t>
  </si>
  <si>
    <t>Roti Multigrain Isi</t>
  </si>
  <si>
    <t>Roti Rye</t>
  </si>
  <si>
    <t>Roti Rye Gandum Hitam</t>
  </si>
  <si>
    <t>Roti Rye Multigrain</t>
  </si>
  <si>
    <t>Roti Rye dengan Kacang</t>
  </si>
  <si>
    <t>Roti Rye Isi</t>
  </si>
  <si>
    <t>Roti Rye Dengan Keju</t>
  </si>
  <si>
    <t>Roti Rye Cokelat</t>
  </si>
  <si>
    <t>Roti Rye Panggang</t>
  </si>
  <si>
    <t>Roti Rye Klasik</t>
  </si>
  <si>
    <t>Roti Sourdough</t>
  </si>
  <si>
    <t>Roti Sourdough dengan Biji</t>
  </si>
  <si>
    <t>Roti Sourdough Roti Panggang</t>
  </si>
  <si>
    <t>Roti Sourdough Cokelat</t>
  </si>
  <si>
    <t>Roti Sourdough Multigrain</t>
  </si>
  <si>
    <t>Roti Sourdough Sehat</t>
  </si>
  <si>
    <t>Roti Sourdough Isi</t>
  </si>
  <si>
    <t>Roti Sourdough Brioche</t>
  </si>
  <si>
    <t>Roti Sourdough Dengan Keju</t>
  </si>
  <si>
    <t>Roti Bebas Gluten</t>
  </si>
  <si>
    <t>Roti Bebas Gluten Multigrain</t>
  </si>
  <si>
    <t>Roti Bebas Gluten dengan Kacang</t>
  </si>
  <si>
    <t>Roti Bebas Gluten dengan Keju</t>
  </si>
  <si>
    <t>Roti Bebas Gluten Roti Panggang</t>
  </si>
  <si>
    <t>Roti Bebas Gluten Brioche</t>
  </si>
  <si>
    <t>Roti Bebas Gluten Cokelat</t>
  </si>
  <si>
    <t>Roti Bebas Gluten Isi</t>
  </si>
  <si>
    <t>Roti Bebas Gluten Sehat</t>
  </si>
  <si>
    <t>Roti Brioche</t>
  </si>
  <si>
    <t>Cinnamon Roll</t>
  </si>
  <si>
    <t>Roti Manis Isi Cokelat</t>
  </si>
  <si>
    <t>Roti Manis Isi Kismis</t>
  </si>
  <si>
    <t>Roti Manis Isi Krim</t>
  </si>
  <si>
    <t>Roti Manis Multigrain</t>
  </si>
  <si>
    <t>Roti Manis Roti Panggang</t>
  </si>
  <si>
    <t>Roti Manis Kacang</t>
  </si>
  <si>
    <t>Roti Manis Klasik</t>
  </si>
  <si>
    <t>Bagel Klasik</t>
  </si>
  <si>
    <t>Bagel Isi Biji</t>
  </si>
  <si>
    <t>Bagel Isi Daging</t>
  </si>
  <si>
    <t>Bagel Isi Keju</t>
  </si>
  <si>
    <t>Bagel Isi Sayur</t>
  </si>
  <si>
    <t>Bagel Isi Cokelat</t>
  </si>
  <si>
    <t>Bagel Isi Krim</t>
  </si>
  <si>
    <t>Bagel Isi Salmon</t>
  </si>
  <si>
    <t>Bagel Isi Ayam</t>
  </si>
  <si>
    <t>Croissant Klasik</t>
  </si>
  <si>
    <t>Croissant Cokelat</t>
  </si>
  <si>
    <t>Croissant Keju</t>
  </si>
  <si>
    <t>Croissant Isi Almond</t>
  </si>
  <si>
    <t>Croissant Isi Krim</t>
  </si>
  <si>
    <t>Croissant Multigrain</t>
  </si>
  <si>
    <t>Croissant Isi Buah</t>
  </si>
  <si>
    <t>Croissant Isi Kismis</t>
  </si>
  <si>
    <t>Croissant Isi Nutella</t>
  </si>
  <si>
    <t>Focaccia Rosemary</t>
  </si>
  <si>
    <t>Focaccia Tomat</t>
  </si>
  <si>
    <t>Focaccia Bawang Putih</t>
  </si>
  <si>
    <t>Focaccia Zaitun</t>
  </si>
  <si>
    <t>Focaccia dengan Keju</t>
  </si>
  <si>
    <t>Focaccia Multigrain</t>
  </si>
  <si>
    <t>Focaccia Isi Sayur</t>
  </si>
  <si>
    <t>Focaccia Isi Daging</t>
  </si>
  <si>
    <t>Focaccia Isi Cokelat</t>
  </si>
  <si>
    <t>Pita Roti</t>
  </si>
  <si>
    <t>Naan Klasik</t>
  </si>
  <si>
    <t>Naan Garlic</t>
  </si>
  <si>
    <t>Pita Isi Daging</t>
  </si>
  <si>
    <t>Pita Isi Sayur</t>
  </si>
  <si>
    <t>Naan Keju</t>
  </si>
  <si>
    <t>Pita Isi Cokelat</t>
  </si>
  <si>
    <t>Naan Isi Buah</t>
  </si>
  <si>
    <t>Pita Multigrain</t>
  </si>
  <si>
    <t>Ciabatta</t>
  </si>
  <si>
    <t>Ciabatta dengan Zaitun</t>
  </si>
  <si>
    <t>Ciabatta dengan Keju</t>
  </si>
  <si>
    <t>Ciabatta Multigrain</t>
  </si>
  <si>
    <t>Ciabatta Isi Daging</t>
  </si>
  <si>
    <t>Ciabatta Isi Sayur</t>
  </si>
  <si>
    <t>Ciabatta Isi Cokelat</t>
  </si>
  <si>
    <t>Ciabatta Isi Krim</t>
  </si>
  <si>
    <t>Ciabatta Roti Panggang</t>
  </si>
  <si>
    <t>Keripik Kentang</t>
  </si>
  <si>
    <t>Keripik Singkong</t>
  </si>
  <si>
    <t>Keripik Tempe</t>
  </si>
  <si>
    <t>Keripik Ubi Jalar</t>
  </si>
  <si>
    <t>Keripik Nanas</t>
  </si>
  <si>
    <t>Keripik Bayam</t>
  </si>
  <si>
    <t>Keripik Jamur</t>
  </si>
  <si>
    <t>Keripik Wortel</t>
  </si>
  <si>
    <t>Keripik Kacang</t>
  </si>
  <si>
    <t>Kacang Goreng</t>
  </si>
  <si>
    <t>Kacang Bawang</t>
  </si>
  <si>
    <t>Kacang Almon</t>
  </si>
  <si>
    <t>Kacang Garam</t>
  </si>
  <si>
    <t>Kacang Roti</t>
  </si>
  <si>
    <t>Gurita Kering Pedas</t>
  </si>
  <si>
    <t>Gurita Kering Manis</t>
  </si>
  <si>
    <t>Gurita Kering Bumbu</t>
  </si>
  <si>
    <t>Gurita Kering Original</t>
  </si>
  <si>
    <t>Gurita Kering Cokelat</t>
  </si>
  <si>
    <t>Gurita Kering Pedas Manis</t>
  </si>
  <si>
    <t>Gurita Kering Seaweed</t>
  </si>
  <si>
    <t>Gurita Kering Kacang</t>
  </si>
  <si>
    <t>Gurita Kering Rasa Tomat</t>
  </si>
  <si>
    <t>Kue Kering Cokelat</t>
  </si>
  <si>
    <t>Kue Kering Kacang</t>
  </si>
  <si>
    <t>Kue Kering Keju</t>
  </si>
  <si>
    <t>Kue Kering Kismis</t>
  </si>
  <si>
    <t>Kue Kering Kacang Almond</t>
  </si>
  <si>
    <t>Kue Kering Sereal</t>
  </si>
  <si>
    <t>Kue Kering Cinnamon</t>
  </si>
  <si>
    <t>Kue Kering Roti</t>
  </si>
  <si>
    <t>Kue Kering Variasi</t>
  </si>
  <si>
    <t>Biskuit Keju</t>
  </si>
  <si>
    <t>Biskuit Cokelat</t>
  </si>
  <si>
    <t>Biskuit Vanila</t>
  </si>
  <si>
    <t>Biskuit Sereal</t>
  </si>
  <si>
    <t>Biskuit Kacang</t>
  </si>
  <si>
    <t>Biskuit Roti</t>
  </si>
  <si>
    <t>Biskuit Almond</t>
  </si>
  <si>
    <t>Biskuit Isi Krim</t>
  </si>
  <si>
    <t>Biskuit Isi Buah</t>
  </si>
  <si>
    <t>Popcorn Mentega</t>
  </si>
  <si>
    <t>Popcorn Karamel</t>
  </si>
  <si>
    <t>Popcorn Cokelat</t>
  </si>
  <si>
    <t>Popcorn Garam</t>
  </si>
  <si>
    <t>Popcorn Keju</t>
  </si>
  <si>
    <t>Popcorn Rasa BBQ</t>
  </si>
  <si>
    <t>Popcorn Rasa Tomat</t>
  </si>
  <si>
    <t>Popcorn Manis</t>
  </si>
  <si>
    <t>Popcorn Rasa Pedas</t>
  </si>
  <si>
    <t>Tahu Goreng</t>
  </si>
  <si>
    <t>Tempe Goreng</t>
  </si>
  <si>
    <t>Pisang Goreng</t>
  </si>
  <si>
    <t>Bakwan</t>
  </si>
  <si>
    <t>Tahu Tempe Goreng</t>
  </si>
  <si>
    <t>Ayam Goreng</t>
  </si>
  <si>
    <t>Kerupuk</t>
  </si>
  <si>
    <t>Bakso Goreng</t>
  </si>
  <si>
    <t>Kacang Goreng Pedas</t>
  </si>
  <si>
    <t>Permen Cokelat</t>
  </si>
  <si>
    <t>Cokelat Batangan</t>
  </si>
  <si>
    <t>Kue Keranjang</t>
  </si>
  <si>
    <t>Kue Cubir Cokelat</t>
  </si>
  <si>
    <t>Cokelat Isi Kacang</t>
  </si>
  <si>
    <t>Permen Karet</t>
  </si>
  <si>
    <t>Granola Bar</t>
  </si>
  <si>
    <t>Bar Energi</t>
  </si>
  <si>
    <t>Granola Multigrain</t>
  </si>
  <si>
    <t>Bar Protein</t>
  </si>
  <si>
    <t>Granola dengan Buah</t>
  </si>
  <si>
    <t>Bar Sereal</t>
  </si>
  <si>
    <t>Granola Kacang</t>
  </si>
  <si>
    <t>Bar Oat</t>
  </si>
  <si>
    <t>Bar Cokelat</t>
  </si>
  <si>
    <t>Kue Cubir</t>
  </si>
  <si>
    <t>Kue Lapis</t>
  </si>
  <si>
    <t>Kue Dadar Gulung</t>
  </si>
  <si>
    <t>Kue Klepon</t>
  </si>
  <si>
    <t>Kue Putri Salju</t>
  </si>
  <si>
    <t>Kue Roti</t>
  </si>
  <si>
    <t>Kue Lumpur</t>
  </si>
  <si>
    <t>Kue Nagasari</t>
  </si>
  <si>
    <t>Kue Talam</t>
  </si>
  <si>
    <t>Kacang Almond Panggang</t>
  </si>
  <si>
    <t>Kacang Tanah Panggang</t>
  </si>
  <si>
    <t>Kacang Mede Panggang</t>
  </si>
  <si>
    <t>Kacang Polong Panggang</t>
  </si>
  <si>
    <t>Kacang Bawang Panggang</t>
  </si>
  <si>
    <t>Kacang Kedelai Panggang</t>
  </si>
  <si>
    <t>Kacang Rasa BBQ Panggang</t>
  </si>
  <si>
    <t>Kacang Bumbu</t>
  </si>
  <si>
    <t>Kacang Rasa Pedas Panggang</t>
  </si>
  <si>
    <t>Mie Instan</t>
  </si>
  <si>
    <t>Ramen Instan</t>
  </si>
  <si>
    <t>Mie Goreng Instan</t>
  </si>
  <si>
    <t>Mie Kuah Instan</t>
  </si>
  <si>
    <t>Ramen Instan Rasa Tom Yum</t>
  </si>
  <si>
    <t>Mie Instan Pedas</t>
  </si>
  <si>
    <t>Mie Instan dengan Sayur</t>
  </si>
  <si>
    <t>Ramen Instan Klasik</t>
  </si>
  <si>
    <t>Mie Instan Rasa Seafood</t>
  </si>
  <si>
    <t>Terima Kasih atas Kepercayaan Anda</t>
  </si>
  <si>
    <t>Sales</t>
  </si>
  <si>
    <t>Purchase</t>
  </si>
  <si>
    <t>Budi Santoso</t>
  </si>
  <si>
    <t>Siti Aminah</t>
  </si>
  <si>
    <t>Agus Pratama</t>
  </si>
  <si>
    <t>Ratna Dewi</t>
  </si>
  <si>
    <t>PT Sumber Rejeki Makmur</t>
  </si>
  <si>
    <t>PT Tunas Jaya Abadi</t>
  </si>
  <si>
    <t>PT Bumi Sejahtera Sentosa</t>
  </si>
  <si>
    <t>PT Maju Terus Bersama</t>
  </si>
  <si>
    <t>Enter Vendor</t>
  </si>
  <si>
    <t>*PT Sumber Rejeki Makmur*</t>
  </si>
  <si>
    <t>1. Pilih produk</t>
  </si>
  <si>
    <r>
      <t xml:space="preserve">3. Atur </t>
    </r>
    <r>
      <rPr>
        <b/>
        <i/>
        <sz val="11"/>
        <color theme="1"/>
        <rFont val="Calibri"/>
        <family val="2"/>
        <scheme val="minor"/>
      </rPr>
      <t>Qty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produk</t>
    </r>
  </si>
  <si>
    <r>
      <t xml:space="preserve">4. Klik tombol </t>
    </r>
    <r>
      <rPr>
        <b/>
        <i/>
        <sz val="11"/>
        <color theme="1"/>
        <rFont val="Calibri"/>
        <family val="2"/>
        <scheme val="minor"/>
      </rPr>
      <t>Pay</t>
    </r>
  </si>
  <si>
    <t>5. Masukan jumlah pembayaran</t>
  </si>
  <si>
    <r>
      <t xml:space="preserve">6. Klik tombol </t>
    </r>
    <r>
      <rPr>
        <b/>
        <i/>
        <sz val="11"/>
        <color theme="1"/>
        <rFont val="Calibri"/>
        <family val="2"/>
        <scheme val="minor"/>
      </rPr>
      <t>Next</t>
    </r>
  </si>
  <si>
    <r>
      <t xml:space="preserve">1. Masukan order id pada kolom </t>
    </r>
    <r>
      <rPr>
        <b/>
        <i/>
        <sz val="11"/>
        <color theme="1"/>
        <rFont val="Calibri"/>
        <family val="2"/>
        <scheme val="minor"/>
      </rPr>
      <t xml:space="preserve">Enter Order </t>
    </r>
    <r>
      <rPr>
        <sz val="11"/>
        <color theme="1"/>
        <rFont val="Calibri"/>
        <family val="2"/>
        <scheme val="minor"/>
      </rPr>
      <t xml:space="preserve">atau nama customer pada kolom </t>
    </r>
    <r>
      <rPr>
        <b/>
        <i/>
        <sz val="11"/>
        <color theme="1"/>
        <rFont val="Calibri"/>
        <family val="2"/>
        <scheme val="minor"/>
      </rPr>
      <t xml:space="preserve">Enter Customer </t>
    </r>
    <r>
      <rPr>
        <sz val="11"/>
        <color theme="1"/>
        <rFont val="Calibri"/>
        <family val="2"/>
        <scheme val="minor"/>
      </rPr>
      <t xml:space="preserve">atau nama vendor pada kolom </t>
    </r>
    <r>
      <rPr>
        <b/>
        <i/>
        <sz val="11"/>
        <color theme="1"/>
        <rFont val="Calibri"/>
        <family val="2"/>
        <scheme val="minor"/>
      </rPr>
      <t>Enter Vendor</t>
    </r>
  </si>
  <si>
    <r>
      <rPr>
        <b/>
        <sz val="11"/>
        <color theme="1"/>
        <rFont val="Calibri"/>
        <family val="2"/>
      </rPr>
      <t xml:space="preserve">● Cara </t>
    </r>
    <r>
      <rPr>
        <b/>
        <sz val="11"/>
        <color theme="1"/>
        <rFont val="Calibri"/>
        <family val="2"/>
        <scheme val="minor"/>
      </rPr>
      <t>Melakukan Pembayaran Pada Sale Dan Purchase:</t>
    </r>
  </si>
  <si>
    <t>● Cara Melakukan Refund Pada Sale Dan Purchase:</t>
  </si>
  <si>
    <t>● Cara Melakukan login</t>
  </si>
  <si>
    <r>
      <t xml:space="preserve">1. Klik tombol </t>
    </r>
    <r>
      <rPr>
        <b/>
        <i/>
        <sz val="11"/>
        <color theme="1"/>
        <rFont val="Calibri"/>
        <family val="2"/>
        <scheme val="minor"/>
      </rPr>
      <t>Login</t>
    </r>
  </si>
  <si>
    <t>● Cara Melakukan Void Pada Sale Dan Purchase:</t>
  </si>
  <si>
    <r>
      <t xml:space="preserve">4. Klik tombol </t>
    </r>
    <r>
      <rPr>
        <b/>
        <i/>
        <sz val="11"/>
        <color theme="1"/>
        <rFont val="Calibri"/>
        <family val="2"/>
        <scheme val="minor"/>
      </rPr>
      <t>Next</t>
    </r>
  </si>
  <si>
    <r>
      <t xml:space="preserve">3. Klik tombol </t>
    </r>
    <r>
      <rPr>
        <b/>
        <i/>
        <sz val="11"/>
        <color theme="1"/>
        <rFont val="Calibri"/>
        <family val="2"/>
        <scheme val="minor"/>
      </rPr>
      <t>Next</t>
    </r>
  </si>
  <si>
    <r>
      <t xml:space="preserve">2. Klik tombol </t>
    </r>
    <r>
      <rPr>
        <b/>
        <i/>
        <sz val="11"/>
        <color theme="1"/>
        <rFont val="Calibri"/>
        <family val="2"/>
        <scheme val="minor"/>
      </rPr>
      <t>Void</t>
    </r>
  </si>
  <si>
    <r>
      <t xml:space="preserve">2. Klik tombol </t>
    </r>
    <r>
      <rPr>
        <b/>
        <i/>
        <sz val="11"/>
        <color theme="1"/>
        <rFont val="Calibri"/>
        <family val="2"/>
        <scheme val="minor"/>
      </rPr>
      <t>Refund</t>
    </r>
  </si>
  <si>
    <t>3. Masukan jumlah pembayaran yang direfund</t>
  </si>
  <si>
    <r>
      <t xml:space="preserve">2. Pilih atau isi nama customers atau nama verndor pada kolom </t>
    </r>
    <r>
      <rPr>
        <b/>
        <i/>
        <sz val="11"/>
        <color theme="1"/>
        <rFont val="Calibri"/>
        <family val="2"/>
        <scheme val="minor"/>
      </rPr>
      <t>Customer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atau </t>
    </r>
    <r>
      <rPr>
        <b/>
        <i/>
        <sz val="11"/>
        <color theme="1"/>
        <rFont val="Calibri"/>
        <family val="2"/>
        <scheme val="minor"/>
      </rPr>
      <t>Vendor</t>
    </r>
  </si>
  <si>
    <t>2. Masukan User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</si>
</sst>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[$-409]m/d/yy\ h:mm\ AM/PM;@"/>
    <numFmt numFmtId="165" formatCode="[$Rp-421]#,##0"/>
    <numFmt numFmtId="166" formatCode="m/d/yy\ h:mm;@"/>
    <numFmt numFmtId="167" formatCode="_-[$Rp-421]* #,##0_-;\-[$Rp-421]* #,##0_-;_-[$Rp-421]* &quot;-&quot;_-;_-@_-"/>
    <numFmt numFmtId="168" formatCode="_-[$Rp-421]* #,##0_-;\-[$Rp-421]* #,##0_-;_-[$Rp-421]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11"/>
      <color theme="3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auto="1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 style="thin">
        <color indexed="64"/>
      </right>
      <top style="thin">
        <color indexed="64"/>
      </top>
      <bottom style="medium">
        <color theme="3" tint="-0.24994659260841701"/>
      </bottom>
      <diagonal/>
    </border>
    <border>
      <left style="medium">
        <color theme="3" tint="-0.24994659260841701"/>
      </left>
      <right/>
      <top style="medium">
        <color theme="3" tint="-0.24994659260841701"/>
      </top>
      <bottom style="thin">
        <color indexed="64"/>
      </bottom>
      <diagonal/>
    </border>
    <border>
      <left/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0" fontId="0" fillId="0" borderId="0" xfId="0" applyAlignment="1">
      <alignment wrapText="1"/>
    </xf>
    <xf numFmtId="0" fontId="0" fillId="3" borderId="0" xfId="0" applyFill="1"/>
    <xf numFmtId="0" fontId="5" fillId="2" borderId="4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 indent="1"/>
    </xf>
    <xf numFmtId="0" fontId="0" fillId="4" borderId="0" xfId="0" applyFill="1"/>
    <xf numFmtId="0" fontId="0" fillId="3" borderId="1" xfId="0" applyFill="1" applyBorder="1"/>
    <xf numFmtId="0" fontId="3" fillId="3" borderId="3" xfId="0" applyFont="1" applyFill="1" applyBorder="1" applyAlignment="1">
      <alignment horizontal="left" vertical="center"/>
    </xf>
    <xf numFmtId="0" fontId="0" fillId="5" borderId="0" xfId="0" applyFill="1"/>
    <xf numFmtId="0" fontId="0" fillId="5" borderId="0" xfId="0" applyFill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3" fillId="5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right"/>
    </xf>
    <xf numFmtId="22" fontId="0" fillId="3" borderId="2" xfId="0" applyNumberFormat="1" applyFill="1" applyBorder="1"/>
    <xf numFmtId="0" fontId="3" fillId="3" borderId="3" xfId="0" applyFont="1" applyFill="1" applyBorder="1" applyAlignment="1">
      <alignment vertical="center"/>
    </xf>
    <xf numFmtId="164" fontId="0" fillId="3" borderId="0" xfId="0" applyNumberFormat="1" applyFill="1"/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7" xfId="0" applyFont="1" applyFill="1" applyBorder="1" applyAlignment="1">
      <alignment horizontal="left"/>
    </xf>
    <xf numFmtId="7" fontId="5" fillId="3" borderId="0" xfId="0" applyNumberFormat="1" applyFont="1" applyFill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6" xfId="0" applyFill="1" applyBorder="1"/>
    <xf numFmtId="0" fontId="0" fillId="3" borderId="7" xfId="0" applyFill="1" applyBorder="1"/>
    <xf numFmtId="0" fontId="0" fillId="3" borderId="1" xfId="0" applyFill="1" applyBorder="1" applyAlignment="1">
      <alignment horizontal="left"/>
    </xf>
    <xf numFmtId="0" fontId="4" fillId="3" borderId="17" xfId="0" applyFont="1" applyFill="1" applyBorder="1"/>
    <xf numFmtId="0" fontId="4" fillId="3" borderId="19" xfId="0" applyFont="1" applyFill="1" applyBorder="1"/>
    <xf numFmtId="0" fontId="0" fillId="4" borderId="20" xfId="0" applyFill="1" applyBorder="1"/>
    <xf numFmtId="0" fontId="4" fillId="3" borderId="18" xfId="0" applyFont="1" applyFill="1" applyBorder="1"/>
    <xf numFmtId="0" fontId="4" fillId="3" borderId="20" xfId="0" applyFont="1" applyFill="1" applyBorder="1" applyAlignment="1">
      <alignment horizontal="left"/>
    </xf>
    <xf numFmtId="0" fontId="4" fillId="3" borderId="21" xfId="0" applyFont="1" applyFill="1" applyBorder="1"/>
    <xf numFmtId="0" fontId="4" fillId="3" borderId="0" xfId="0" applyFont="1" applyFill="1" applyBorder="1"/>
    <xf numFmtId="0" fontId="4" fillId="3" borderId="0" xfId="0" applyFont="1" applyFill="1" applyBorder="1" applyAlignment="1">
      <alignment horizontal="left"/>
    </xf>
    <xf numFmtId="165" fontId="4" fillId="3" borderId="0" xfId="1" applyNumberFormat="1" applyFont="1" applyFill="1" applyBorder="1"/>
    <xf numFmtId="0" fontId="7" fillId="5" borderId="0" xfId="0" applyFont="1" applyFill="1"/>
    <xf numFmtId="0" fontId="0" fillId="3" borderId="11" xfId="0" applyFill="1" applyBorder="1"/>
    <xf numFmtId="0" fontId="2" fillId="3" borderId="1" xfId="0" applyFont="1" applyFill="1" applyBorder="1" applyAlignment="1">
      <alignment horizontal="center"/>
    </xf>
    <xf numFmtId="9" fontId="0" fillId="3" borderId="1" xfId="2" applyNumberFormat="1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 applyAlignment="1">
      <alignment horizontal="center"/>
    </xf>
    <xf numFmtId="167" fontId="0" fillId="0" borderId="0" xfId="1" applyNumberFormat="1" applyFont="1"/>
    <xf numFmtId="165" fontId="5" fillId="2" borderId="2" xfId="1" applyNumberFormat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165" fontId="5" fillId="3" borderId="0" xfId="1" applyNumberFormat="1" applyFont="1" applyFill="1" applyBorder="1" applyAlignment="1">
      <alignment horizontal="left"/>
    </xf>
    <xf numFmtId="165" fontId="5" fillId="3" borderId="0" xfId="2" applyNumberFormat="1" applyFont="1" applyFill="1" applyBorder="1" applyAlignment="1">
      <alignment horizontal="right"/>
    </xf>
    <xf numFmtId="165" fontId="0" fillId="3" borderId="0" xfId="1" applyNumberFormat="1" applyFont="1" applyFill="1" applyBorder="1" applyAlignment="1">
      <alignment horizontal="left"/>
    </xf>
    <xf numFmtId="165" fontId="0" fillId="3" borderId="0" xfId="2" applyNumberFormat="1" applyFont="1" applyFill="1" applyBorder="1" applyAlignment="1">
      <alignment horizontal="right"/>
    </xf>
    <xf numFmtId="165" fontId="0" fillId="3" borderId="0" xfId="1" applyNumberFormat="1" applyFont="1" applyFill="1" applyBorder="1"/>
    <xf numFmtId="165" fontId="0" fillId="3" borderId="0" xfId="0" applyNumberFormat="1" applyFill="1"/>
    <xf numFmtId="165" fontId="0" fillId="0" borderId="0" xfId="0" applyNumberFormat="1"/>
    <xf numFmtId="167" fontId="0" fillId="0" borderId="0" xfId="0" applyNumberFormat="1"/>
    <xf numFmtId="0" fontId="9" fillId="3" borderId="1" xfId="0" applyFont="1" applyFill="1" applyBorder="1" applyAlignment="1">
      <alignment horizontal="center"/>
    </xf>
    <xf numFmtId="168" fontId="0" fillId="0" borderId="0" xfId="0" applyNumberFormat="1"/>
    <xf numFmtId="0" fontId="0" fillId="0" borderId="1" xfId="0" applyFill="1" applyBorder="1"/>
    <xf numFmtId="0" fontId="3" fillId="0" borderId="1" xfId="0" applyFont="1" applyFill="1" applyBorder="1" applyAlignment="1">
      <alignment horizontal="center"/>
    </xf>
    <xf numFmtId="0" fontId="10" fillId="0" borderId="1" xfId="0" applyFont="1" applyFill="1" applyBorder="1"/>
    <xf numFmtId="0" fontId="3" fillId="0" borderId="1" xfId="0" applyFont="1" applyFill="1" applyBorder="1"/>
    <xf numFmtId="0" fontId="0" fillId="0" borderId="0" xfId="0" applyFill="1"/>
    <xf numFmtId="0" fontId="3" fillId="0" borderId="16" xfId="0" applyFont="1" applyFill="1" applyBorder="1" applyAlignment="1">
      <alignment horizontal="center"/>
    </xf>
    <xf numFmtId="0" fontId="3" fillId="3" borderId="1" xfId="0" applyFont="1" applyFill="1" applyBorder="1"/>
    <xf numFmtId="0" fontId="3" fillId="3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1" xfId="0" applyFont="1" applyFill="1" applyBorder="1"/>
    <xf numFmtId="0" fontId="2" fillId="0" borderId="17" xfId="0" applyFont="1" applyFill="1" applyBorder="1"/>
    <xf numFmtId="0" fontId="4" fillId="0" borderId="17" xfId="0" applyFont="1" applyFill="1" applyBorder="1"/>
    <xf numFmtId="0" fontId="0" fillId="0" borderId="17" xfId="0" applyBorder="1"/>
    <xf numFmtId="0" fontId="2" fillId="0" borderId="17" xfId="0" applyFont="1" applyFill="1" applyBorder="1" applyAlignment="1">
      <alignment horizontal="center"/>
    </xf>
    <xf numFmtId="0" fontId="4" fillId="0" borderId="17" xfId="0" applyFont="1" applyBorder="1"/>
    <xf numFmtId="0" fontId="4" fillId="0" borderId="17" xfId="0" applyFont="1" applyFill="1" applyBorder="1" applyAlignment="1">
      <alignment horizontal="center"/>
    </xf>
    <xf numFmtId="165" fontId="4" fillId="0" borderId="17" xfId="0" applyNumberFormat="1" applyFont="1" applyBorder="1"/>
    <xf numFmtId="0" fontId="4" fillId="0" borderId="0" xfId="0" applyFont="1"/>
    <xf numFmtId="0" fontId="3" fillId="3" borderId="0" xfId="0" applyFont="1" applyFill="1"/>
    <xf numFmtId="0" fontId="0" fillId="3" borderId="0" xfId="0" applyFill="1" applyAlignment="1">
      <alignment vertical="top" wrapText="1"/>
    </xf>
    <xf numFmtId="0" fontId="0" fillId="3" borderId="0" xfId="0" applyFill="1" applyAlignment="1">
      <alignment vertical="top"/>
    </xf>
    <xf numFmtId="0" fontId="3" fillId="0" borderId="0" xfId="0" applyFont="1"/>
    <xf numFmtId="22" fontId="4" fillId="0" borderId="0" xfId="0" applyNumberFormat="1" applyFont="1"/>
    <xf numFmtId="0" fontId="4" fillId="0" borderId="0" xfId="0" applyFont="1" applyAlignment="1">
      <alignment horizontal="center"/>
    </xf>
    <xf numFmtId="165" fontId="4" fillId="0" borderId="0" xfId="0" applyNumberFormat="1" applyFont="1"/>
    <xf numFmtId="0" fontId="7" fillId="5" borderId="0" xfId="0" applyFont="1" applyFill="1" applyAlignment="1">
      <alignment horizontal="center"/>
    </xf>
    <xf numFmtId="0" fontId="0" fillId="3" borderId="8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0" fillId="3" borderId="0" xfId="0" applyFill="1" applyAlignment="1">
      <alignment horizontal="left" vertical="top" wrapText="1"/>
    </xf>
    <xf numFmtId="0" fontId="3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right"/>
    </xf>
    <xf numFmtId="166" fontId="0" fillId="3" borderId="1" xfId="0" applyNumberFormat="1" applyFill="1" applyBorder="1" applyAlignment="1">
      <alignment horizontal="left"/>
    </xf>
    <xf numFmtId="0" fontId="3" fillId="0" borderId="1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4">
    <dxf>
      <fill>
        <patternFill>
          <bgColor theme="0"/>
        </patternFill>
      </fill>
    </dxf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1EAF3"/>
        </patternFill>
      </fill>
    </dxf>
    <dxf>
      <fill>
        <patternFill>
          <bgColor rgb="FFF4F7FA"/>
        </patternFill>
      </fill>
      <border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auto="1"/>
          <bgColor rgb="FFECF2F8"/>
        </patternFill>
      </fill>
      <border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0"/>
        </patternFill>
      </fill>
    </dxf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font>
        <b/>
        <i val="0"/>
        <color theme="0"/>
      </font>
      <fill>
        <patternFill patternType="solid">
          <fgColor auto="1"/>
          <bgColor theme="1"/>
        </patternFill>
      </fill>
    </dxf>
    <dxf>
      <font>
        <b val="0"/>
        <i/>
        <color theme="0" tint="-0.34998626667073579"/>
      </font>
    </dxf>
    <dxf>
      <fill>
        <patternFill>
          <bgColor theme="0"/>
        </patternFill>
      </fill>
    </dxf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1EAF3"/>
        </patternFill>
      </fill>
    </dxf>
  </dxfs>
  <tableStyles count="0" defaultTableStyle="TableStyleMedium2" defaultPivotStyle="PivotStyleLight16"/>
  <colors>
    <mruColors>
      <color rgb="FF4BD0FF"/>
      <color rgb="FFF4F7FA"/>
      <color rgb="FFECF2F8"/>
      <color rgb="FFE1EAF3"/>
      <color rgb="FFF7F7F7"/>
      <color rgb="FFCCD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265048</xdr:colOff>
      <xdr:row>0</xdr:row>
      <xdr:rowOff>91104</xdr:rowOff>
    </xdr:from>
    <xdr:to>
      <xdr:col>8</xdr:col>
      <xdr:colOff>950848</xdr:colOff>
      <xdr:row>0</xdr:row>
      <xdr:rowOff>456864</xdr:rowOff>
    </xdr:to>
    <xdr:sp macro="" textlink="">
      <xdr:nvSpPr>
        <xdr:cNvPr id="273" name="SampleProdShp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2335700" y="91104"/>
          <a:ext cx="685800" cy="365760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Sample</a:t>
          </a:r>
          <a:r>
            <a:rPr lang="en-US" sz="1100" b="0" i="0" u="none" strike="noStrike" baseline="0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 Product</a:t>
          </a:r>
          <a:endParaRPr lang="en-US" sz="11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8</xdr:col>
      <xdr:colOff>533400</xdr:colOff>
      <xdr:row>1</xdr:row>
      <xdr:rowOff>166687</xdr:rowOff>
    </xdr:from>
    <xdr:to>
      <xdr:col>9</xdr:col>
      <xdr:colOff>129540</xdr:colOff>
      <xdr:row>1</xdr:row>
      <xdr:rowOff>395287</xdr:rowOff>
    </xdr:to>
    <xdr:sp macro="[0]!SalesPurchase_Toggle" textlink="">
      <xdr:nvSpPr>
        <xdr:cNvPr id="67" name="ToggleBack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2604052" y="729904"/>
          <a:ext cx="548640" cy="228600"/>
        </a:xfrm>
        <a:prstGeom prst="rect">
          <a:avLst/>
        </a:prstGeom>
        <a:solidFill>
          <a:sysClr val="window" lastClr="FFFFFF"/>
        </a:solidFill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807720</xdr:colOff>
      <xdr:row>1</xdr:row>
      <xdr:rowOff>166687</xdr:rowOff>
    </xdr:from>
    <xdr:to>
      <xdr:col>9</xdr:col>
      <xdr:colOff>129540</xdr:colOff>
      <xdr:row>1</xdr:row>
      <xdr:rowOff>395287</xdr:rowOff>
    </xdr:to>
    <xdr:sp macro="[0]!SalesPurchase_Toggle" textlink="">
      <xdr:nvSpPr>
        <xdr:cNvPr id="463" name="ToggleSwitch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>
        <a:xfrm>
          <a:off x="2874645" y="728662"/>
          <a:ext cx="274320" cy="228600"/>
        </a:xfrm>
        <a:prstGeom prst="rect">
          <a:avLst/>
        </a:prstGeom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47625</xdr:colOff>
      <xdr:row>1</xdr:row>
      <xdr:rowOff>166687</xdr:rowOff>
    </xdr:from>
    <xdr:to>
      <xdr:col>8</xdr:col>
      <xdr:colOff>504825</xdr:colOff>
      <xdr:row>1</xdr:row>
      <xdr:rowOff>395287</xdr:rowOff>
    </xdr:to>
    <xdr:sp macro="" textlink="">
      <xdr:nvSpPr>
        <xdr:cNvPr id="464" name="TextBox 463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 txBox="1"/>
      </xdr:nvSpPr>
      <xdr:spPr>
        <a:xfrm>
          <a:off x="4867275" y="728662"/>
          <a:ext cx="4572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SALE</a:t>
          </a:r>
        </a:p>
      </xdr:txBody>
    </xdr:sp>
    <xdr:clientData/>
  </xdr:twoCellAnchor>
  <xdr:twoCellAnchor>
    <xdr:from>
      <xdr:col>9</xdr:col>
      <xdr:colOff>142875</xdr:colOff>
      <xdr:row>1</xdr:row>
      <xdr:rowOff>166687</xdr:rowOff>
    </xdr:from>
    <xdr:to>
      <xdr:col>9</xdr:col>
      <xdr:colOff>920115</xdr:colOff>
      <xdr:row>1</xdr:row>
      <xdr:rowOff>395287</xdr:rowOff>
    </xdr:to>
    <xdr:sp macro="" textlink="">
      <xdr:nvSpPr>
        <xdr:cNvPr id="465" name="TextBox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 txBox="1"/>
      </xdr:nvSpPr>
      <xdr:spPr>
        <a:xfrm>
          <a:off x="5915025" y="728662"/>
          <a:ext cx="77724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l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PURCHASE</a:t>
          </a:r>
        </a:p>
      </xdr:txBody>
    </xdr:sp>
    <xdr:clientData/>
  </xdr:twoCellAnchor>
  <xdr:twoCellAnchor>
    <xdr:from>
      <xdr:col>9</xdr:col>
      <xdr:colOff>1133475</xdr:colOff>
      <xdr:row>1</xdr:row>
      <xdr:rowOff>100011</xdr:rowOff>
    </xdr:from>
    <xdr:to>
      <xdr:col>12</xdr:col>
      <xdr:colOff>276225</xdr:colOff>
      <xdr:row>1</xdr:row>
      <xdr:rowOff>447674</xdr:rowOff>
    </xdr:to>
    <xdr:sp macro="" textlink="$B$1">
      <xdr:nvSpPr>
        <xdr:cNvPr id="466" name="TextBox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 txBox="1"/>
      </xdr:nvSpPr>
      <xdr:spPr>
        <a:xfrm>
          <a:off x="6905625" y="661986"/>
          <a:ext cx="1962150" cy="3476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ctr"/>
          <a:fld id="{3A1C7FC0-6890-4241-A12C-4A956DF9DFAF}" type="TxLink">
            <a:rPr lang="en-US" sz="2500" b="0" i="0" u="none" strike="noStrike">
              <a:solidFill>
                <a:sysClr val="windowText" lastClr="000000"/>
              </a:solidFill>
              <a:latin typeface="Arial Rounded MT Bold" panose="020F0704030504030204" pitchFamily="34" charset="0"/>
              <a:cs typeface="Calibri"/>
            </a:rPr>
            <a:pPr algn="ctr"/>
            <a:t>PURCHASE</a:t>
          </a:fld>
          <a:endParaRPr lang="en-US" sz="2500" b="1" i="0" u="none" strike="noStrike">
            <a:solidFill>
              <a:sysClr val="windowText" lastClr="000000"/>
            </a:solidFill>
            <a:latin typeface="Arial Rounded MT Bold" panose="020F0704030504030204" pitchFamily="34" charset="0"/>
            <a:cs typeface="Calibri"/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731520</xdr:colOff>
      <xdr:row>0</xdr:row>
      <xdr:rowOff>0</xdr:rowOff>
    </xdr:to>
    <xdr:sp macro="" textlink="">
      <xdr:nvSpPr>
        <xdr:cNvPr id="474" name="Rectangle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/>
      </xdr:nvSpPr>
      <xdr:spPr>
        <a:xfrm>
          <a:off x="11934825" y="0"/>
          <a:ext cx="731520" cy="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100" b="0"/>
            <a:t>Logout</a:t>
          </a:r>
        </a:p>
      </xdr:txBody>
    </xdr:sp>
    <xdr:clientData/>
  </xdr:twoCellAnchor>
  <xdr:twoCellAnchor editAs="oneCell">
    <xdr:from>
      <xdr:col>18</xdr:col>
      <xdr:colOff>0</xdr:colOff>
      <xdr:row>1</xdr:row>
      <xdr:rowOff>128586</xdr:rowOff>
    </xdr:from>
    <xdr:to>
      <xdr:col>18</xdr:col>
      <xdr:colOff>685800</xdr:colOff>
      <xdr:row>3</xdr:row>
      <xdr:rowOff>42861</xdr:rowOff>
    </xdr:to>
    <xdr:sp macro="[0]!POS_LoadSubCategory" textlink="Admin!E4">
      <xdr:nvSpPr>
        <xdr:cNvPr id="423" name="Category2">
          <a:extLs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>
        <a:xfrm>
          <a:off x="9069457" y="691803"/>
          <a:ext cx="685800" cy="692841"/>
        </a:xfrm>
        <a:prstGeom prst="rect">
          <a:avLst/>
        </a:prstGeom>
      </xdr:spPr>
      <xdr:style>
        <a:lnRef idx="1">
          <a:schemeClr val="accent1"/>
        </a:lnRef>
        <a:fillRef idx="1001">
          <a:schemeClr val="dk2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18288" rtlCol="0" anchor="b"/>
        <a:lstStyle/>
        <a:p>
          <a:pPr algn="ctr"/>
          <a:fld id="{2511AED8-365C-477D-862C-CD3847321438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Produk Susu</a:t>
          </a:fld>
          <a:endParaRPr lang="en-US" sz="1100"/>
        </a:p>
      </xdr:txBody>
    </xdr:sp>
    <xdr:clientData/>
  </xdr:twoCellAnchor>
  <xdr:twoCellAnchor editAs="oneCell">
    <xdr:from>
      <xdr:col>20</xdr:col>
      <xdr:colOff>0</xdr:colOff>
      <xdr:row>1</xdr:row>
      <xdr:rowOff>128586</xdr:rowOff>
    </xdr:from>
    <xdr:to>
      <xdr:col>20</xdr:col>
      <xdr:colOff>685800</xdr:colOff>
      <xdr:row>3</xdr:row>
      <xdr:rowOff>42861</xdr:rowOff>
    </xdr:to>
    <xdr:grpSp>
      <xdr:nvGrpSpPr>
        <xdr:cNvPr id="99" name="CategoryGrp4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pSpPr/>
      </xdr:nvGrpSpPr>
      <xdr:grpSpPr>
        <a:xfrm>
          <a:off x="10626587" y="691803"/>
          <a:ext cx="685800" cy="692841"/>
          <a:chOff x="13169265" y="690561"/>
          <a:chExt cx="685800" cy="685800"/>
        </a:xfrm>
      </xdr:grpSpPr>
      <xdr:sp macro="[0]!POS_LoadSubCategory" textlink="Admin!G4">
        <xdr:nvSpPr>
          <xdr:cNvPr id="425" name="Category4">
            <a:extLst>
              <a:ext uri="{FF2B5EF4-FFF2-40B4-BE49-F238E27FC236}">
                <a16:creationId xmlns:a16="http://schemas.microsoft.com/office/drawing/2014/main" id="{00000000-0008-0000-0100-0000A9010000}"/>
              </a:ext>
            </a:extLst>
          </xdr:cNvPr>
          <xdr:cNvSpPr/>
        </xdr:nvSpPr>
        <xdr:spPr>
          <a:xfrm>
            <a:off x="13169265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44386170-6D6B-429E-B64D-8878E2A0EBFC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Makanan Beku</a:t>
            </a:fld>
            <a:endParaRPr lang="en-US" sz="1100"/>
          </a:p>
        </xdr:txBody>
      </xdr:sp>
      <xdr:pic macro="[0]!POS_LoadSubCategory">
        <xdr:nvPicPr>
          <xdr:cNvPr id="70" name="CatIcon4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75005" y="690561"/>
            <a:ext cx="274320" cy="271532"/>
          </a:xfrm>
          <a:prstGeom prst="rect">
            <a:avLst/>
          </a:prstGeom>
        </xdr:spPr>
      </xdr:pic>
    </xdr:grpSp>
    <xdr:clientData/>
  </xdr:twoCellAnchor>
  <xdr:twoCellAnchor editAs="oneCell">
    <xdr:from>
      <xdr:col>22</xdr:col>
      <xdr:colOff>0</xdr:colOff>
      <xdr:row>1</xdr:row>
      <xdr:rowOff>128586</xdr:rowOff>
    </xdr:from>
    <xdr:to>
      <xdr:col>22</xdr:col>
      <xdr:colOff>685800</xdr:colOff>
      <xdr:row>3</xdr:row>
      <xdr:rowOff>42861</xdr:rowOff>
    </xdr:to>
    <xdr:sp macro="[0]!POS_LoadSubCategory" textlink="Admin!I4">
      <xdr:nvSpPr>
        <xdr:cNvPr id="427" name="Category6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>
        <a:xfrm>
          <a:off x="12183717" y="691803"/>
          <a:ext cx="685800" cy="692841"/>
        </a:xfrm>
        <a:prstGeom prst="rect">
          <a:avLst/>
        </a:prstGeom>
      </xdr:spPr>
      <xdr:style>
        <a:lnRef idx="1">
          <a:schemeClr val="accent1"/>
        </a:lnRef>
        <a:fillRef idx="1001">
          <a:schemeClr val="dk2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18288" rtlCol="0" anchor="b"/>
        <a:lstStyle/>
        <a:p>
          <a:pPr algn="ctr"/>
          <a:fld id="{E054A255-2D27-4E19-8598-368224E27CFB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Makanan Ringan</a:t>
          </a:fld>
          <a:endParaRPr lang="en-US" sz="1100"/>
        </a:p>
      </xdr:txBody>
    </xdr:sp>
    <xdr:clientData/>
  </xdr:twoCellAnchor>
  <xdr:twoCellAnchor editAs="oneCell">
    <xdr:from>
      <xdr:col>17</xdr:col>
      <xdr:colOff>0</xdr:colOff>
      <xdr:row>1</xdr:row>
      <xdr:rowOff>128586</xdr:rowOff>
    </xdr:from>
    <xdr:to>
      <xdr:col>17</xdr:col>
      <xdr:colOff>685800</xdr:colOff>
      <xdr:row>3</xdr:row>
      <xdr:rowOff>42861</xdr:rowOff>
    </xdr:to>
    <xdr:sp macro="[0]!POS_LoadSubCategory" textlink="Admin!D4">
      <xdr:nvSpPr>
        <xdr:cNvPr id="45" name="Category1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8290891" y="691803"/>
          <a:ext cx="685800" cy="69284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18288" rtlCol="0" anchor="b"/>
        <a:lstStyle/>
        <a:p>
          <a:pPr algn="ctr"/>
          <a:fld id="{61D81DC4-BD1C-4D90-9EB6-394A9B8681A8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Buah dan Sayuran</a:t>
          </a:fld>
          <a:endParaRPr lang="en-US" sz="1100"/>
        </a:p>
      </xdr:txBody>
    </xdr:sp>
    <xdr:clientData/>
  </xdr:twoCellAnchor>
  <xdr:twoCellAnchor editAs="oneCell">
    <xdr:from>
      <xdr:col>13</xdr:col>
      <xdr:colOff>514350</xdr:colOff>
      <xdr:row>1</xdr:row>
      <xdr:rowOff>196177</xdr:rowOff>
    </xdr:from>
    <xdr:to>
      <xdr:col>15</xdr:col>
      <xdr:colOff>34953</xdr:colOff>
      <xdr:row>1</xdr:row>
      <xdr:rowOff>424777</xdr:rowOff>
    </xdr:to>
    <xdr:grpSp>
      <xdr:nvGrpSpPr>
        <xdr:cNvPr id="1126" name="LogoutBtn">
          <a:extLst>
            <a:ext uri="{FF2B5EF4-FFF2-40B4-BE49-F238E27FC236}">
              <a16:creationId xmlns:a16="http://schemas.microsoft.com/office/drawing/2014/main" id="{00000000-0008-0000-0100-000066040000}"/>
            </a:ext>
          </a:extLst>
        </xdr:cNvPr>
        <xdr:cNvGrpSpPr/>
      </xdr:nvGrpSpPr>
      <xdr:grpSpPr>
        <a:xfrm>
          <a:off x="6999633" y="759394"/>
          <a:ext cx="738146" cy="228600"/>
          <a:chOff x="9715500" y="758152"/>
          <a:chExt cx="731520" cy="228600"/>
        </a:xfrm>
      </xdr:grpSpPr>
      <xdr:sp macro="[0]!User_Logout" textlink="">
        <xdr:nvSpPr>
          <xdr:cNvPr id="473" name="Rectangle 472">
            <a:extLst>
              <a:ext uri="{FF2B5EF4-FFF2-40B4-BE49-F238E27FC236}">
                <a16:creationId xmlns:a16="http://schemas.microsoft.com/office/drawing/2014/main" id="{00000000-0008-0000-0100-0000D9010000}"/>
              </a:ext>
            </a:extLst>
          </xdr:cNvPr>
          <xdr:cNvSpPr/>
        </xdr:nvSpPr>
        <xdr:spPr>
          <a:xfrm>
            <a:off x="9715500" y="758152"/>
            <a:ext cx="731520" cy="228600"/>
          </a:xfrm>
          <a:prstGeom prst="rect">
            <a:avLst/>
          </a:prstGeom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0"/>
              <a:t>Logout</a:t>
            </a:r>
          </a:p>
        </xdr:txBody>
      </xdr:sp>
      <xdr:pic macro="[0]!User_Logout">
        <xdr:nvPicPr>
          <xdr:cNvPr id="73" name="Picture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35296" y="781012"/>
            <a:ext cx="181238" cy="182880"/>
          </a:xfrm>
          <a:prstGeom prst="rect">
            <a:avLst/>
          </a:prstGeom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</xdr:pic>
    </xdr:grpSp>
    <xdr:clientData/>
  </xdr:twoCellAnchor>
  <xdr:twoCellAnchor editAs="oneCell">
    <xdr:from>
      <xdr:col>21</xdr:col>
      <xdr:colOff>0</xdr:colOff>
      <xdr:row>1</xdr:row>
      <xdr:rowOff>128586</xdr:rowOff>
    </xdr:from>
    <xdr:to>
      <xdr:col>21</xdr:col>
      <xdr:colOff>685800</xdr:colOff>
      <xdr:row>3</xdr:row>
      <xdr:rowOff>42861</xdr:rowOff>
    </xdr:to>
    <xdr:sp macro="[0]!POS_LoadSubCategory" textlink="Admin!H4">
      <xdr:nvSpPr>
        <xdr:cNvPr id="426" name="Category5">
          <a:extLs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/>
      </xdr:nvSpPr>
      <xdr:spPr>
        <a:xfrm>
          <a:off x="11405152" y="691803"/>
          <a:ext cx="685800" cy="692841"/>
        </a:xfrm>
        <a:prstGeom prst="rect">
          <a:avLst/>
        </a:prstGeom>
      </xdr:spPr>
      <xdr:style>
        <a:lnRef idx="1">
          <a:schemeClr val="accent1"/>
        </a:lnRef>
        <a:fillRef idx="1001">
          <a:schemeClr val="dk2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18288" rtlCol="0" anchor="b"/>
        <a:lstStyle/>
        <a:p>
          <a:pPr algn="ctr"/>
          <a:fld id="{D70B9330-4475-461B-8C69-E2E117BA95D4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Produk Roti</a:t>
          </a:fld>
          <a:endParaRPr lang="en-US" sz="1100"/>
        </a:p>
      </xdr:txBody>
    </xdr:sp>
    <xdr:clientData/>
  </xdr:twoCellAnchor>
  <xdr:twoCellAnchor editAs="oneCell">
    <xdr:from>
      <xdr:col>19</xdr:col>
      <xdr:colOff>0</xdr:colOff>
      <xdr:row>1</xdr:row>
      <xdr:rowOff>128586</xdr:rowOff>
    </xdr:from>
    <xdr:to>
      <xdr:col>19</xdr:col>
      <xdr:colOff>685800</xdr:colOff>
      <xdr:row>3</xdr:row>
      <xdr:rowOff>42861</xdr:rowOff>
    </xdr:to>
    <xdr:grpSp>
      <xdr:nvGrpSpPr>
        <xdr:cNvPr id="98" name="CategoryGrp3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9848022" y="691803"/>
          <a:ext cx="685800" cy="692841"/>
          <a:chOff x="12386310" y="690561"/>
          <a:chExt cx="685800" cy="685800"/>
        </a:xfrm>
      </xdr:grpSpPr>
      <xdr:sp macro="[0]!POS_LoadSubCategory" textlink="Admin!F4">
        <xdr:nvSpPr>
          <xdr:cNvPr id="424" name="Category3">
            <a:extLst>
              <a:ext uri="{FF2B5EF4-FFF2-40B4-BE49-F238E27FC236}">
                <a16:creationId xmlns:a16="http://schemas.microsoft.com/office/drawing/2014/main" id="{00000000-0008-0000-0100-0000A8010000}"/>
              </a:ext>
            </a:extLst>
          </xdr:cNvPr>
          <xdr:cNvSpPr/>
        </xdr:nvSpPr>
        <xdr:spPr>
          <a:xfrm>
            <a:off x="12386310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C973A283-CD22-45F2-A125-2F4CE5451A34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Makanan Kaleng</a:t>
            </a:fld>
            <a:endParaRPr lang="en-US" sz="1100"/>
          </a:p>
        </xdr:txBody>
      </xdr:sp>
      <xdr:pic macro="[0]!POS_LoadSubCategory">
        <xdr:nvPicPr>
          <xdr:cNvPr id="81" name="CatIcon3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592050" y="690561"/>
            <a:ext cx="274320" cy="271532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0</xdr:colOff>
      <xdr:row>7</xdr:row>
      <xdr:rowOff>12700</xdr:rowOff>
    </xdr:from>
    <xdr:to>
      <xdr:col>14</xdr:col>
      <xdr:colOff>3307</xdr:colOff>
      <xdr:row>7</xdr:row>
      <xdr:rowOff>195580</xdr:rowOff>
    </xdr:to>
    <xdr:grpSp>
      <xdr:nvGrpSpPr>
        <xdr:cNvPr id="1032" name="SelItemGrp" hidden="1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GrpSpPr/>
      </xdr:nvGrpSpPr>
      <xdr:grpSpPr>
        <a:xfrm>
          <a:off x="4422913" y="2282135"/>
          <a:ext cx="2927068" cy="182880"/>
          <a:chOff x="7157850" y="2279887"/>
          <a:chExt cx="2923755" cy="182880"/>
        </a:xfrm>
      </xdr:grpSpPr>
      <xdr:pic macro="[0]!Order_ItemRemove">
        <xdr:nvPicPr>
          <xdr:cNvPr id="82" name="Picture 81" hidden="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8725" y="2279887"/>
            <a:ext cx="182880" cy="182880"/>
          </a:xfrm>
          <a:prstGeom prst="rect">
            <a:avLst/>
          </a:prstGeom>
        </xdr:spPr>
      </xdr:pic>
      <xdr:pic macro="[0]!Order_ItemIncreaseQty">
        <xdr:nvPicPr>
          <xdr:cNvPr id="84" name="Picture 83" hidden="1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65075" y="2279887"/>
            <a:ext cx="182880" cy="182880"/>
          </a:xfrm>
          <a:prstGeom prst="rect">
            <a:avLst/>
          </a:prstGeom>
        </xdr:spPr>
      </xdr:pic>
      <xdr:pic macro="[0]!Order_ItemDecreaseQty">
        <xdr:nvPicPr>
          <xdr:cNvPr id="86" name="Picture 85" hidden="1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57850" y="2279887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66260</xdr:colOff>
      <xdr:row>0</xdr:row>
      <xdr:rowOff>19050</xdr:rowOff>
    </xdr:from>
    <xdr:to>
      <xdr:col>22</xdr:col>
      <xdr:colOff>475420</xdr:colOff>
      <xdr:row>0</xdr:row>
      <xdr:rowOff>545937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971260" y="19050"/>
          <a:ext cx="10687877" cy="52688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600" b="1">
              <a:solidFill>
                <a:schemeClr val="tx1"/>
              </a:solidFill>
              <a:latin typeface="+mn-lt"/>
            </a:rPr>
            <a:t>POINT OF SALE</a:t>
          </a:r>
        </a:p>
      </xdr:txBody>
    </xdr:sp>
    <xdr:clientData/>
  </xdr:twoCellAnchor>
  <xdr:twoCellAnchor editAs="oneCell">
    <xdr:from>
      <xdr:col>13</xdr:col>
      <xdr:colOff>514350</xdr:colOff>
      <xdr:row>1</xdr:row>
      <xdr:rowOff>200025</xdr:rowOff>
    </xdr:from>
    <xdr:to>
      <xdr:col>15</xdr:col>
      <xdr:colOff>34953</xdr:colOff>
      <xdr:row>1</xdr:row>
      <xdr:rowOff>428625</xdr:rowOff>
    </xdr:to>
    <xdr:grpSp>
      <xdr:nvGrpSpPr>
        <xdr:cNvPr id="1125" name="LoginBtn" hidden="1">
          <a:extLst>
            <a:ext uri="{FF2B5EF4-FFF2-40B4-BE49-F238E27FC236}">
              <a16:creationId xmlns:a16="http://schemas.microsoft.com/office/drawing/2014/main" id="{00000000-0008-0000-0100-000065040000}"/>
            </a:ext>
          </a:extLst>
        </xdr:cNvPr>
        <xdr:cNvGrpSpPr/>
      </xdr:nvGrpSpPr>
      <xdr:grpSpPr>
        <a:xfrm>
          <a:off x="6999633" y="763242"/>
          <a:ext cx="738146" cy="228600"/>
          <a:chOff x="9686925" y="514350"/>
          <a:chExt cx="731520" cy="228600"/>
        </a:xfrm>
      </xdr:grpSpPr>
      <xdr:sp macro="[0]!User_Login" textlink="">
        <xdr:nvSpPr>
          <xdr:cNvPr id="475" name="Rectangle 474" hidden="1">
            <a:extLst>
              <a:ext uri="{FF2B5EF4-FFF2-40B4-BE49-F238E27FC236}">
                <a16:creationId xmlns:a16="http://schemas.microsoft.com/office/drawing/2014/main" id="{00000000-0008-0000-0100-0000DB010000}"/>
              </a:ext>
            </a:extLst>
          </xdr:cNvPr>
          <xdr:cNvSpPr/>
        </xdr:nvSpPr>
        <xdr:spPr>
          <a:xfrm>
            <a:off x="9686925" y="514350"/>
            <a:ext cx="731520" cy="228600"/>
          </a:xfrm>
          <a:prstGeom prst="rect">
            <a:avLst/>
          </a:prstGeom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0"/>
              <a:t>Login</a:t>
            </a:r>
          </a:p>
        </xdr:txBody>
      </xdr:sp>
      <xdr:pic macro="[0]!User_Login">
        <xdr:nvPicPr>
          <xdr:cNvPr id="94" name="Picture 93" hidden="1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68370" y="537825"/>
            <a:ext cx="181238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0</xdr:colOff>
      <xdr:row>6</xdr:row>
      <xdr:rowOff>203200</xdr:rowOff>
    </xdr:from>
    <xdr:to>
      <xdr:col>15</xdr:col>
      <xdr:colOff>0</xdr:colOff>
      <xdr:row>13</xdr:row>
      <xdr:rowOff>159385</xdr:rowOff>
    </xdr:to>
    <xdr:grpSp>
      <xdr:nvGrpSpPr>
        <xdr:cNvPr id="1121" name="FooterGrp">
          <a:extLst>
            <a:ext uri="{FF2B5EF4-FFF2-40B4-BE49-F238E27FC236}">
              <a16:creationId xmlns:a16="http://schemas.microsoft.com/office/drawing/2014/main" id="{00000000-0008-0000-0100-000061040000}"/>
            </a:ext>
          </a:extLst>
        </xdr:cNvPr>
        <xdr:cNvGrpSpPr/>
      </xdr:nvGrpSpPr>
      <xdr:grpSpPr>
        <a:xfrm>
          <a:off x="2070652" y="2240722"/>
          <a:ext cx="5632174" cy="1579576"/>
          <a:chOff x="4810125" y="3409950"/>
          <a:chExt cx="5431580" cy="155638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4819650" y="3409950"/>
            <a:ext cx="5419725" cy="1143000"/>
          </a:xfrm>
          <a:prstGeom prst="rect">
            <a:avLst/>
          </a:prstGeom>
          <a:solidFill>
            <a:schemeClr val="bg1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 txBox="1"/>
        </xdr:nvSpPr>
        <xdr:spPr>
          <a:xfrm>
            <a:off x="8543924" y="3419475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/>
              <a:t>Sub-Total:</a:t>
            </a:r>
          </a:p>
        </xdr:txBody>
      </xdr:sp>
      <xdr:sp macro="" textlink="$A$14">
        <xdr:nvSpPr>
          <xdr:cNvPr id="442" name="TextBox 441">
            <a:extLst>
              <a:ext uri="{FF2B5EF4-FFF2-40B4-BE49-F238E27FC236}">
                <a16:creationId xmlns:a16="http://schemas.microsoft.com/office/drawing/2014/main" id="{00000000-0008-0000-0100-0000BA010000}"/>
              </a:ext>
            </a:extLst>
          </xdr:cNvPr>
          <xdr:cNvSpPr txBox="1"/>
        </xdr:nvSpPr>
        <xdr:spPr>
          <a:xfrm>
            <a:off x="8543924" y="36385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144D164F-808F-4F81-B4EE-D2332D64D68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PPN(11%):</a:t>
            </a:fld>
            <a:endParaRPr lang="en-US" sz="1100"/>
          </a:p>
        </xdr:txBody>
      </xdr:sp>
      <xdr:sp macro="" textlink="$B$13">
        <xdr:nvSpPr>
          <xdr:cNvPr id="443" name="TextBox 442">
            <a:extLst>
              <a:ext uri="{FF2B5EF4-FFF2-40B4-BE49-F238E27FC236}">
                <a16:creationId xmlns:a16="http://schemas.microsoft.com/office/drawing/2014/main" id="{00000000-0008-0000-0100-0000BB010000}"/>
              </a:ext>
            </a:extLst>
          </xdr:cNvPr>
          <xdr:cNvSpPr txBox="1"/>
        </xdr:nvSpPr>
        <xdr:spPr>
          <a:xfrm>
            <a:off x="9458324" y="3419475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3C0F0FDF-0CB4-4BA1-ADF9-44D49680CA2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Rp0</a:t>
            </a:fld>
            <a:endParaRPr lang="en-US" sz="1100"/>
          </a:p>
        </xdr:txBody>
      </xdr:sp>
      <xdr:sp macro="" textlink="$B$14">
        <xdr:nvSpPr>
          <xdr:cNvPr id="444" name="TextBox 443">
            <a:extLst>
              <a:ext uri="{FF2B5EF4-FFF2-40B4-BE49-F238E27FC236}">
                <a16:creationId xmlns:a16="http://schemas.microsoft.com/office/drawing/2014/main" id="{00000000-0008-0000-0100-0000BC010000}"/>
              </a:ext>
            </a:extLst>
          </xdr:cNvPr>
          <xdr:cNvSpPr txBox="1"/>
        </xdr:nvSpPr>
        <xdr:spPr>
          <a:xfrm>
            <a:off x="9458324" y="36385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7C9BF381-64B2-4296-8524-B6851C4F7B0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Rp0</a:t>
            </a:fld>
            <a:endParaRPr lang="en-US" sz="1100"/>
          </a:p>
        </xdr:txBody>
      </xdr:sp>
      <xdr:sp macro="" textlink="">
        <xdr:nvSpPr>
          <xdr:cNvPr id="445" name="TextBox 444">
            <a:extLst>
              <a:ext uri="{FF2B5EF4-FFF2-40B4-BE49-F238E27FC236}">
                <a16:creationId xmlns:a16="http://schemas.microsoft.com/office/drawing/2014/main" id="{00000000-0008-0000-0100-0000BD010000}"/>
              </a:ext>
            </a:extLst>
          </xdr:cNvPr>
          <xdr:cNvSpPr txBox="1"/>
        </xdr:nvSpPr>
        <xdr:spPr>
          <a:xfrm>
            <a:off x="8543924" y="38671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1" u="sng"/>
              <a:t>Total:</a:t>
            </a:r>
          </a:p>
        </xdr:txBody>
      </xdr:sp>
      <xdr:sp macro="" textlink="$B$15">
        <xdr:nvSpPr>
          <xdr:cNvPr id="446" name="TextBox 445">
            <a:extLst>
              <a:ext uri="{FF2B5EF4-FFF2-40B4-BE49-F238E27FC236}">
                <a16:creationId xmlns:a16="http://schemas.microsoft.com/office/drawing/2014/main" id="{00000000-0008-0000-0100-0000BE010000}"/>
              </a:ext>
            </a:extLst>
          </xdr:cNvPr>
          <xdr:cNvSpPr txBox="1"/>
        </xdr:nvSpPr>
        <xdr:spPr>
          <a:xfrm>
            <a:off x="9458324" y="38671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E37C8B0D-30CB-4D5B-974F-0A1F0C9B79B0}" type="TxLink">
              <a:rPr lang="en-US" sz="1100" b="1" i="0" u="sng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Rp0</a:t>
            </a:fld>
            <a:endParaRPr lang="en-US" sz="1100" b="1" u="sng"/>
          </a:p>
        </xdr:txBody>
      </xdr:sp>
      <xdr:sp macro="" textlink="$B$16">
        <xdr:nvSpPr>
          <xdr:cNvPr id="447" name="TextBox 446">
            <a:extLst>
              <a:ext uri="{FF2B5EF4-FFF2-40B4-BE49-F238E27FC236}">
                <a16:creationId xmlns:a16="http://schemas.microsoft.com/office/drawing/2014/main" id="{00000000-0008-0000-0100-0000BF010000}"/>
              </a:ext>
            </a:extLst>
          </xdr:cNvPr>
          <xdr:cNvSpPr txBox="1"/>
        </xdr:nvSpPr>
        <xdr:spPr>
          <a:xfrm>
            <a:off x="9458324" y="40957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57D45DD0-E509-42FC-BB59-BF1EC16A6F2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/>
          </a:p>
        </xdr:txBody>
      </xdr:sp>
      <xdr:sp macro="" textlink="$B$17">
        <xdr:nvSpPr>
          <xdr:cNvPr id="448" name="TextBox 447">
            <a:extLst>
              <a:ext uri="{FF2B5EF4-FFF2-40B4-BE49-F238E27FC236}">
                <a16:creationId xmlns:a16="http://schemas.microsoft.com/office/drawing/2014/main" id="{00000000-0008-0000-0100-0000C0010000}"/>
              </a:ext>
            </a:extLst>
          </xdr:cNvPr>
          <xdr:cNvSpPr txBox="1"/>
        </xdr:nvSpPr>
        <xdr:spPr>
          <a:xfrm>
            <a:off x="9458324" y="43243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417A14C4-FB9F-4623-9DE3-9EFC248C0E3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/>
          </a:p>
        </xdr:txBody>
      </xdr:sp>
      <xdr:sp macro="" textlink="">
        <xdr:nvSpPr>
          <xdr:cNvPr id="449" name="TextBox 448">
            <a:extLst>
              <a:ext uri="{FF2B5EF4-FFF2-40B4-BE49-F238E27FC236}">
                <a16:creationId xmlns:a16="http://schemas.microsoft.com/office/drawing/2014/main" id="{00000000-0008-0000-0100-0000C1010000}"/>
              </a:ext>
            </a:extLst>
          </xdr:cNvPr>
          <xdr:cNvSpPr txBox="1"/>
        </xdr:nvSpPr>
        <xdr:spPr>
          <a:xfrm>
            <a:off x="8543924" y="40957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/>
              <a:t>Total</a:t>
            </a:r>
            <a:r>
              <a:rPr lang="en-US" sz="1100" baseline="0"/>
              <a:t> Paid:</a:t>
            </a:r>
            <a:endParaRPr lang="en-US" sz="1100"/>
          </a:p>
        </xdr:txBody>
      </xdr:sp>
      <xdr:sp macro="" textlink="">
        <xdr:nvSpPr>
          <xdr:cNvPr id="450" name="TextBox 449">
            <a:extLst>
              <a:ext uri="{FF2B5EF4-FFF2-40B4-BE49-F238E27FC236}">
                <a16:creationId xmlns:a16="http://schemas.microsoft.com/office/drawing/2014/main" id="{00000000-0008-0000-0100-0000C2010000}"/>
              </a:ext>
            </a:extLst>
          </xdr:cNvPr>
          <xdr:cNvSpPr txBox="1"/>
        </xdr:nvSpPr>
        <xdr:spPr>
          <a:xfrm>
            <a:off x="8543924" y="43243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/>
              <a:t>Change:</a:t>
            </a:r>
          </a:p>
        </xdr:txBody>
      </xdr:sp>
      <xdr:sp macro="" textlink="FooterMsg">
        <xdr:nvSpPr>
          <xdr:cNvPr id="451" name="TextBox 450">
            <a:extLst>
              <a:ext uri="{FF2B5EF4-FFF2-40B4-BE49-F238E27FC236}">
                <a16:creationId xmlns:a16="http://schemas.microsoft.com/office/drawing/2014/main" id="{00000000-0008-0000-0100-0000C3010000}"/>
              </a:ext>
            </a:extLst>
          </xdr:cNvPr>
          <xdr:cNvSpPr txBox="1"/>
        </xdr:nvSpPr>
        <xdr:spPr>
          <a:xfrm>
            <a:off x="4829175" y="3419475"/>
            <a:ext cx="37338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40C393DF-9D1E-4383-BFEA-CC1E905E735A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Terima Kasih atas Kepercayaan Anda</a:t>
            </a:fld>
            <a:endParaRPr lang="en-US" sz="1100" b="1"/>
          </a:p>
        </xdr:txBody>
      </xdr:sp>
      <xdr:sp macro="" textlink="">
        <xdr:nvSpPr>
          <xdr:cNvPr id="452" name="TextBox 451">
            <a:extLst>
              <a:ext uri="{FF2B5EF4-FFF2-40B4-BE49-F238E27FC236}">
                <a16:creationId xmlns:a16="http://schemas.microsoft.com/office/drawing/2014/main" id="{00000000-0008-0000-0100-0000C4010000}"/>
              </a:ext>
            </a:extLst>
          </xdr:cNvPr>
          <xdr:cNvSpPr txBox="1"/>
        </xdr:nvSpPr>
        <xdr:spPr>
          <a:xfrm>
            <a:off x="4829175" y="3638550"/>
            <a:ext cx="1600199" cy="9143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t"/>
          <a:lstStyle/>
          <a:p>
            <a:pPr algn="l"/>
            <a:r>
              <a:rPr lang="id-ID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PT XYZ</a:t>
            </a:r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/>
            </a:r>
            <a:b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</a:br>
            <a:r>
              <a:rPr lang="id-ID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Bekasi,</a:t>
            </a:r>
            <a:r>
              <a:rPr lang="id-ID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Jawa Barat, Indonesia</a:t>
            </a:r>
            <a:endPara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endParaRPr>
          </a:p>
          <a:p>
            <a:pPr algn="l"/>
            <a:r>
              <a:rPr lang="id-ID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0821-8282</a:t>
            </a:r>
            <a:r>
              <a: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-</a:t>
            </a:r>
            <a:r>
              <a:rPr lang="id-ID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8282</a:t>
            </a:r>
            <a:endPara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endParaRPr>
          </a:p>
          <a:p>
            <a:pPr algn="l"/>
            <a:r>
              <a:rPr lang="id-ID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Xyz@gmail</a:t>
            </a:r>
            <a:r>
              <a: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.com</a:t>
            </a:r>
          </a:p>
        </xdr:txBody>
      </xdr:sp>
      <xdr:sp macro="" textlink="">
        <xdr:nvSpPr>
          <xdr:cNvPr id="453" name="TextBox 452">
            <a:extLst>
              <a:ext uri="{FF2B5EF4-FFF2-40B4-BE49-F238E27FC236}">
                <a16:creationId xmlns:a16="http://schemas.microsoft.com/office/drawing/2014/main" id="{00000000-0008-0000-0100-0000C5010000}"/>
              </a:ext>
            </a:extLst>
          </xdr:cNvPr>
          <xdr:cNvSpPr txBox="1"/>
        </xdr:nvSpPr>
        <xdr:spPr>
          <a:xfrm>
            <a:off x="6410324" y="36385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Receipt #:</a:t>
            </a:r>
          </a:p>
        </xdr:txBody>
      </xdr:sp>
      <xdr:sp macro="" textlink="">
        <xdr:nvSpPr>
          <xdr:cNvPr id="454" name="TextBox 453">
            <a:extLst>
              <a:ext uri="{FF2B5EF4-FFF2-40B4-BE49-F238E27FC236}">
                <a16:creationId xmlns:a16="http://schemas.microsoft.com/office/drawing/2014/main" id="{00000000-0008-0000-0100-0000C6010000}"/>
              </a:ext>
            </a:extLst>
          </xdr:cNvPr>
          <xdr:cNvSpPr txBox="1"/>
        </xdr:nvSpPr>
        <xdr:spPr>
          <a:xfrm>
            <a:off x="6410324" y="38671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Order On:</a:t>
            </a:r>
          </a:p>
        </xdr:txBody>
      </xdr:sp>
      <xdr:sp macro="" textlink="">
        <xdr:nvSpPr>
          <xdr:cNvPr id="455" name="TextBox 454">
            <a:extLst>
              <a:ext uri="{FF2B5EF4-FFF2-40B4-BE49-F238E27FC236}">
                <a16:creationId xmlns:a16="http://schemas.microsoft.com/office/drawing/2014/main" id="{00000000-0008-0000-0100-0000C7010000}"/>
              </a:ext>
            </a:extLst>
          </xdr:cNvPr>
          <xdr:cNvSpPr txBox="1"/>
        </xdr:nvSpPr>
        <xdr:spPr>
          <a:xfrm>
            <a:off x="6410324" y="40957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Cashier:</a:t>
            </a:r>
          </a:p>
        </xdr:txBody>
      </xdr:sp>
      <xdr:sp macro="" textlink="$P$4">
        <xdr:nvSpPr>
          <xdr:cNvPr id="457" name="TextBox 456">
            <a:extLst>
              <a:ext uri="{FF2B5EF4-FFF2-40B4-BE49-F238E27FC236}">
                <a16:creationId xmlns:a16="http://schemas.microsoft.com/office/drawing/2014/main" id="{00000000-0008-0000-0100-0000C9010000}"/>
              </a:ext>
            </a:extLst>
          </xdr:cNvPr>
          <xdr:cNvSpPr txBox="1"/>
        </xdr:nvSpPr>
        <xdr:spPr>
          <a:xfrm>
            <a:off x="7324723" y="36385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BD487BF1-B379-4C8F-BF33-5F609E31131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10002</a:t>
            </a:fld>
            <a:endParaRPr lang="en-US" sz="1100"/>
          </a:p>
        </xdr:txBody>
      </xdr:sp>
      <xdr:sp macro="" textlink="$L$4">
        <xdr:nvSpPr>
          <xdr:cNvPr id="458" name="TextBox 457">
            <a:extLst>
              <a:ext uri="{FF2B5EF4-FFF2-40B4-BE49-F238E27FC236}">
                <a16:creationId xmlns:a16="http://schemas.microsoft.com/office/drawing/2014/main" id="{00000000-0008-0000-0100-0000CA010000}"/>
              </a:ext>
            </a:extLst>
          </xdr:cNvPr>
          <xdr:cNvSpPr txBox="1"/>
        </xdr:nvSpPr>
        <xdr:spPr>
          <a:xfrm>
            <a:off x="7324723" y="38671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7D009322-0A9A-4CF1-8449-13286B4C033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7-21-24 18:36</a:t>
            </a:fld>
            <a:endParaRPr lang="en-US" sz="1100"/>
          </a:p>
        </xdr:txBody>
      </xdr:sp>
      <xdr:sp macro="" textlink="$L$3">
        <xdr:nvSpPr>
          <xdr:cNvPr id="459" name="TextBox 458">
            <a:extLst>
              <a:ext uri="{FF2B5EF4-FFF2-40B4-BE49-F238E27FC236}">
                <a16:creationId xmlns:a16="http://schemas.microsoft.com/office/drawing/2014/main" id="{00000000-0008-0000-0100-0000CB010000}"/>
              </a:ext>
            </a:extLst>
          </xdr:cNvPr>
          <xdr:cNvSpPr txBox="1"/>
        </xdr:nvSpPr>
        <xdr:spPr>
          <a:xfrm>
            <a:off x="7324723" y="40957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D4670101-97DE-4A19-9078-B678BEF78DE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User 1</a:t>
            </a:fld>
            <a:endParaRPr lang="en-US" sz="1100"/>
          </a:p>
        </xdr:txBody>
      </xdr:sp>
      <xdr:grpSp>
        <xdr:nvGrpSpPr>
          <xdr:cNvPr id="1052" name="Group 1051">
            <a:extLst>
              <a:ext uri="{FF2B5EF4-FFF2-40B4-BE49-F238E27FC236}">
                <a16:creationId xmlns:a16="http://schemas.microsoft.com/office/drawing/2014/main" id="{00000000-0008-0000-0100-00001C040000}"/>
              </a:ext>
            </a:extLst>
          </xdr:cNvPr>
          <xdr:cNvGrpSpPr/>
        </xdr:nvGrpSpPr>
        <xdr:grpSpPr>
          <a:xfrm>
            <a:off x="5690701" y="4600575"/>
            <a:ext cx="777240" cy="365760"/>
            <a:chOff x="5690701" y="4600575"/>
            <a:chExt cx="777240" cy="365760"/>
          </a:xfrm>
        </xdr:grpSpPr>
        <xdr:sp macro="[0]!Order_Pay" textlink="">
          <xdr:nvSpPr>
            <xdr:cNvPr id="468" name="Rectangle 467">
              <a:extLst>
                <a:ext uri="{FF2B5EF4-FFF2-40B4-BE49-F238E27FC236}">
                  <a16:creationId xmlns:a16="http://schemas.microsoft.com/office/drawing/2014/main" id="{00000000-0008-0000-0100-0000D4010000}"/>
                </a:ext>
              </a:extLst>
            </xdr:cNvPr>
            <xdr:cNvSpPr/>
          </xdr:nvSpPr>
          <xdr:spPr>
            <a:xfrm>
              <a:off x="5690701" y="4600575"/>
              <a:ext cx="777240" cy="365760"/>
            </a:xfrm>
            <a:prstGeom prst="rect">
              <a:avLst/>
            </a:prstGeom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Pay</a:t>
              </a:r>
            </a:p>
          </xdr:txBody>
        </xdr:sp>
        <xdr:pic macro="[0]!Order_Pay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01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772000" y="4678932"/>
              <a:ext cx="209782" cy="209045"/>
            </a:xfrm>
            <a:prstGeom prst="rect">
              <a:avLst/>
            </a:prstGeom>
          </xdr:spPr>
        </xdr:pic>
      </xdr:grpSp>
      <xdr:grpSp>
        <xdr:nvGrpSpPr>
          <xdr:cNvPr id="1053" name="Group 1052">
            <a:extLst>
              <a:ext uri="{FF2B5EF4-FFF2-40B4-BE49-F238E27FC236}">
                <a16:creationId xmlns:a16="http://schemas.microsoft.com/office/drawing/2014/main" id="{00000000-0008-0000-0100-00001D040000}"/>
              </a:ext>
            </a:extLst>
          </xdr:cNvPr>
          <xdr:cNvGrpSpPr/>
        </xdr:nvGrpSpPr>
        <xdr:grpSpPr>
          <a:xfrm>
            <a:off x="6571277" y="4600575"/>
            <a:ext cx="777240" cy="365760"/>
            <a:chOff x="6571277" y="4600575"/>
            <a:chExt cx="777240" cy="365760"/>
          </a:xfrm>
        </xdr:grpSpPr>
        <xdr:sp macro="[0]!Order_Print" textlink="">
          <xdr:nvSpPr>
            <xdr:cNvPr id="469" name="Rectangle 468">
              <a:extLst>
                <a:ext uri="{FF2B5EF4-FFF2-40B4-BE49-F238E27FC236}">
                  <a16:creationId xmlns:a16="http://schemas.microsoft.com/office/drawing/2014/main" id="{00000000-0008-0000-0100-0000D5010000}"/>
                </a:ext>
              </a:extLst>
            </xdr:cNvPr>
            <xdr:cNvSpPr/>
          </xdr:nvSpPr>
          <xdr:spPr>
            <a:xfrm>
              <a:off x="6571277" y="4600575"/>
              <a:ext cx="777240" cy="365760"/>
            </a:xfrm>
            <a:prstGeom prst="rect">
              <a:avLst/>
            </a:prstGeom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Print</a:t>
              </a:r>
            </a:p>
          </xdr:txBody>
        </xdr:sp>
        <xdr:pic macro="[0]!Order_Print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00600" y="4678932"/>
              <a:ext cx="209782" cy="209045"/>
            </a:xfrm>
            <a:prstGeom prst="rect">
              <a:avLst/>
            </a:prstGeom>
          </xdr:spPr>
        </xdr:pic>
      </xdr:grpSp>
      <xdr:grpSp>
        <xdr:nvGrpSpPr>
          <xdr:cNvPr id="1051" name="Group 1050">
            <a:extLst>
              <a:ext uri="{FF2B5EF4-FFF2-40B4-BE49-F238E27FC236}">
                <a16:creationId xmlns:a16="http://schemas.microsoft.com/office/drawing/2014/main" id="{00000000-0008-0000-0100-00001B040000}"/>
              </a:ext>
            </a:extLst>
          </xdr:cNvPr>
          <xdr:cNvGrpSpPr/>
        </xdr:nvGrpSpPr>
        <xdr:grpSpPr>
          <a:xfrm>
            <a:off x="4810125" y="4600575"/>
            <a:ext cx="777240" cy="365760"/>
            <a:chOff x="4810125" y="4600575"/>
            <a:chExt cx="777240" cy="365760"/>
          </a:xfrm>
        </xdr:grpSpPr>
        <xdr:sp macro="[0]!Order_Clear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/>
          </xdr:nvSpPr>
          <xdr:spPr>
            <a:xfrm>
              <a:off x="4810125" y="4600575"/>
              <a:ext cx="777240" cy="365760"/>
            </a:xfrm>
            <a:prstGeom prst="rect">
              <a:avLst/>
            </a:prstGeom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Clear</a:t>
              </a:r>
            </a:p>
          </xdr:txBody>
        </xdr:sp>
        <xdr:pic macro="[0]!Order_Clear">
          <xdr:nvPicPr>
            <xdr:cNvPr id="89" name="Picture 88">
              <a:extLst>
                <a:ext uri="{FF2B5EF4-FFF2-40B4-BE49-F238E27FC236}">
                  <a16:creationId xmlns:a16="http://schemas.microsoft.com/office/drawing/2014/main" id="{00000000-0008-0000-0100-00005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845600" y="4678932"/>
              <a:ext cx="209782" cy="209045"/>
            </a:xfrm>
            <a:prstGeom prst="rect">
              <a:avLst/>
            </a:prstGeom>
          </xdr:spPr>
        </xdr:pic>
      </xdr:grpSp>
      <xdr:grpSp>
        <xdr:nvGrpSpPr>
          <xdr:cNvPr id="1054" name="Group 1053">
            <a:extLst>
              <a:ext uri="{FF2B5EF4-FFF2-40B4-BE49-F238E27FC236}">
                <a16:creationId xmlns:a16="http://schemas.microsoft.com/office/drawing/2014/main" id="{00000000-0008-0000-0100-00001E040000}"/>
              </a:ext>
            </a:extLst>
          </xdr:cNvPr>
          <xdr:cNvGrpSpPr/>
        </xdr:nvGrpSpPr>
        <xdr:grpSpPr>
          <a:xfrm>
            <a:off x="7451852" y="4600575"/>
            <a:ext cx="1028701" cy="365760"/>
            <a:chOff x="7451852" y="4600575"/>
            <a:chExt cx="1028701" cy="365760"/>
          </a:xfrm>
        </xdr:grpSpPr>
        <xdr:sp macro="[0]!Order_Refund" textlink="">
          <xdr:nvSpPr>
            <xdr:cNvPr id="470" name="Rectangle 469">
              <a:extLst>
                <a:ext uri="{FF2B5EF4-FFF2-40B4-BE49-F238E27FC236}">
                  <a16:creationId xmlns:a16="http://schemas.microsoft.com/office/drawing/2014/main" id="{00000000-0008-0000-0100-0000D6010000}"/>
                </a:ext>
              </a:extLst>
            </xdr:cNvPr>
            <xdr:cNvSpPr/>
          </xdr:nvSpPr>
          <xdr:spPr>
            <a:xfrm>
              <a:off x="7451852" y="4600575"/>
              <a:ext cx="1028701" cy="365760"/>
            </a:xfrm>
            <a:prstGeom prst="rect">
              <a:avLst/>
            </a:prstGeom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Refund</a:t>
              </a:r>
            </a:p>
          </xdr:txBody>
        </xdr:sp>
        <xdr:pic macro="[0]!Order_Refund">
          <xdr:nvPicPr>
            <xdr:cNvPr id="90" name="Picture 89">
              <a:extLst>
                <a:ext uri="{FF2B5EF4-FFF2-40B4-BE49-F238E27FC236}">
                  <a16:creationId xmlns:a16="http://schemas.microsoft.com/office/drawing/2014/main" id="{00000000-0008-0000-0100-00005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491149" y="4669843"/>
              <a:ext cx="228024" cy="227223"/>
            </a:xfrm>
            <a:prstGeom prst="rect">
              <a:avLst/>
            </a:prstGeom>
          </xdr:spPr>
        </xdr:pic>
      </xdr:grpSp>
      <xdr:grpSp>
        <xdr:nvGrpSpPr>
          <xdr:cNvPr id="1120" name="Group 1119">
            <a:extLst>
              <a:ext uri="{FF2B5EF4-FFF2-40B4-BE49-F238E27FC236}">
                <a16:creationId xmlns:a16="http://schemas.microsoft.com/office/drawing/2014/main" id="{00000000-0008-0000-0100-000060040000}"/>
              </a:ext>
            </a:extLst>
          </xdr:cNvPr>
          <xdr:cNvGrpSpPr/>
        </xdr:nvGrpSpPr>
        <xdr:grpSpPr>
          <a:xfrm>
            <a:off x="9464465" y="4600575"/>
            <a:ext cx="777240" cy="365760"/>
            <a:chOff x="9464465" y="4600575"/>
            <a:chExt cx="777240" cy="365760"/>
          </a:xfrm>
        </xdr:grpSpPr>
        <xdr:sp macro="[0]!Order_SaveUpdate" textlink="">
          <xdr:nvSpPr>
            <xdr:cNvPr id="472" name="Rectangle 471">
              <a:extLst>
                <a:ext uri="{FF2B5EF4-FFF2-40B4-BE49-F238E27FC236}">
                  <a16:creationId xmlns:a16="http://schemas.microsoft.com/office/drawing/2014/main" id="{00000000-0008-0000-0100-0000D8010000}"/>
                </a:ext>
              </a:extLst>
            </xdr:cNvPr>
            <xdr:cNvSpPr/>
          </xdr:nvSpPr>
          <xdr:spPr>
            <a:xfrm>
              <a:off x="9464465" y="4600575"/>
              <a:ext cx="777240" cy="365760"/>
            </a:xfrm>
            <a:prstGeom prst="rect">
              <a:avLst/>
            </a:prstGeom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Next</a:t>
              </a:r>
            </a:p>
          </xdr:txBody>
        </xdr:sp>
        <xdr:pic macro="[0]!Order_SaveUpdate">
          <xdr:nvPicPr>
            <xdr:cNvPr id="91" name="Picture 90">
              <a:extLst>
                <a:ext uri="{FF2B5EF4-FFF2-40B4-BE49-F238E27FC236}">
                  <a16:creationId xmlns:a16="http://schemas.microsoft.com/office/drawing/2014/main" id="{00000000-0008-0000-01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08050" y="4669154"/>
              <a:ext cx="229405" cy="228600"/>
            </a:xfrm>
            <a:prstGeom prst="rect">
              <a:avLst/>
            </a:prstGeom>
          </xdr:spPr>
        </xdr:pic>
      </xdr:grpSp>
      <xdr:grpSp>
        <xdr:nvGrpSpPr>
          <xdr:cNvPr id="1055" name="Group 1054">
            <a:extLst>
              <a:ext uri="{FF2B5EF4-FFF2-40B4-BE49-F238E27FC236}">
                <a16:creationId xmlns:a16="http://schemas.microsoft.com/office/drawing/2014/main" id="{00000000-0008-0000-0100-00001F040000}"/>
              </a:ext>
            </a:extLst>
          </xdr:cNvPr>
          <xdr:cNvGrpSpPr/>
        </xdr:nvGrpSpPr>
        <xdr:grpSpPr>
          <a:xfrm>
            <a:off x="8583889" y="4600575"/>
            <a:ext cx="777240" cy="365760"/>
            <a:chOff x="8583889" y="4600575"/>
            <a:chExt cx="777240" cy="365760"/>
          </a:xfrm>
        </xdr:grpSpPr>
        <xdr:sp macro="[0]!Order_Void" textlink="">
          <xdr:nvSpPr>
            <xdr:cNvPr id="471" name="Rectangle 470">
              <a:extLst>
                <a:ext uri="{FF2B5EF4-FFF2-40B4-BE49-F238E27FC236}">
                  <a16:creationId xmlns:a16="http://schemas.microsoft.com/office/drawing/2014/main" id="{00000000-0008-0000-0100-0000D7010000}"/>
                </a:ext>
              </a:extLst>
            </xdr:cNvPr>
            <xdr:cNvSpPr/>
          </xdr:nvSpPr>
          <xdr:spPr>
            <a:xfrm>
              <a:off x="8583889" y="4600575"/>
              <a:ext cx="777240" cy="365760"/>
            </a:xfrm>
            <a:prstGeom prst="rect">
              <a:avLst/>
            </a:prstGeom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Void</a:t>
              </a:r>
            </a:p>
          </xdr:txBody>
        </xdr:sp>
        <xdr:pic macro="[0]!Order_Void">
          <xdr:nvPicPr>
            <xdr:cNvPr id="95" name="Picture 94">
              <a:extLst>
                <a:ext uri="{FF2B5EF4-FFF2-40B4-BE49-F238E27FC236}">
                  <a16:creationId xmlns:a16="http://schemas.microsoft.com/office/drawing/2014/main" id="{00000000-0008-0000-01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622150" y="4683224"/>
              <a:ext cx="201168" cy="20046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1123949</xdr:colOff>
      <xdr:row>1</xdr:row>
      <xdr:rowOff>161925</xdr:rowOff>
    </xdr:from>
    <xdr:to>
      <xdr:col>9</xdr:col>
      <xdr:colOff>171451</xdr:colOff>
      <xdr:row>1</xdr:row>
      <xdr:rowOff>504825</xdr:rowOff>
    </xdr:to>
    <xdr:grpSp>
      <xdr:nvGrpSpPr>
        <xdr:cNvPr id="1122" name="ClearResultBtn" hidden="1">
          <a:extLst>
            <a:ext uri="{FF2B5EF4-FFF2-40B4-BE49-F238E27FC236}">
              <a16:creationId xmlns:a16="http://schemas.microsoft.com/office/drawing/2014/main" id="{00000000-0008-0000-0100-000062040000}"/>
            </a:ext>
          </a:extLst>
        </xdr:cNvPr>
        <xdr:cNvGrpSpPr/>
      </xdr:nvGrpSpPr>
      <xdr:grpSpPr>
        <a:xfrm>
          <a:off x="2070652" y="725142"/>
          <a:ext cx="1123951" cy="342900"/>
          <a:chOff x="3190874" y="723900"/>
          <a:chExt cx="1123951" cy="342900"/>
        </a:xfrm>
      </xdr:grpSpPr>
      <xdr:sp macro="[0]!Orders_ClearFilter" textlink="">
        <xdr:nvSpPr>
          <xdr:cNvPr id="66" name="Right Arrow 65" hidden="1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3190874" y="723900"/>
            <a:ext cx="1123951" cy="342900"/>
          </a:xfrm>
          <a:prstGeom prst="rightArrow">
            <a:avLst>
              <a:gd name="adj1" fmla="val 66667"/>
              <a:gd name="adj2" fmla="val 50000"/>
            </a:avLst>
          </a:prstGeom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lIns="18288" tIns="0" rIns="18288" bIns="0" rtlCol="0" anchor="ctr"/>
          <a:lstStyle/>
          <a:p>
            <a:pPr algn="r"/>
            <a:r>
              <a:rPr lang="en-US" sz="1100" b="1"/>
              <a:t>Clear Results</a:t>
            </a:r>
          </a:p>
        </xdr:txBody>
      </xdr:sp>
      <xdr:pic macro="[0]!Orders_ClearFilter">
        <xdr:nvPicPr>
          <xdr:cNvPr id="496" name="Picture 495" hidden="1">
            <a:extLst>
              <a:ext uri="{FF2B5EF4-FFF2-40B4-BE49-F238E27FC236}">
                <a16:creationId xmlns:a16="http://schemas.microsoft.com/office/drawing/2014/main" id="{00000000-0008-0000-0100-0000F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45400" y="815340"/>
            <a:ext cx="160020" cy="16002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3</xdr:row>
      <xdr:rowOff>142875</xdr:rowOff>
    </xdr:from>
    <xdr:to>
      <xdr:col>17</xdr:col>
      <xdr:colOff>685800</xdr:colOff>
      <xdr:row>5</xdr:row>
      <xdr:rowOff>51435</xdr:rowOff>
    </xdr:to>
    <xdr:sp macro="[0]!POS_LoadProducts" textlink="">
      <xdr:nvSpPr>
        <xdr:cNvPr id="1135" name="Subcategory1">
          <a:extLst>
            <a:ext uri="{FF2B5EF4-FFF2-40B4-BE49-F238E27FC236}">
              <a16:creationId xmlns:a16="http://schemas.microsoft.com/office/drawing/2014/main" id="{00000000-0008-0000-0100-00006F040000}"/>
            </a:ext>
          </a:extLst>
        </xdr:cNvPr>
        <xdr:cNvSpPr/>
      </xdr:nvSpPr>
      <xdr:spPr>
        <a:xfrm>
          <a:off x="802957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Buah Segar</a:t>
          </a:r>
        </a:p>
      </xdr:txBody>
    </xdr:sp>
    <xdr:clientData/>
  </xdr:twoCellAnchor>
  <xdr:twoCellAnchor>
    <xdr:from>
      <xdr:col>18</xdr:col>
      <xdr:colOff>0</xdr:colOff>
      <xdr:row>3</xdr:row>
      <xdr:rowOff>142875</xdr:rowOff>
    </xdr:from>
    <xdr:to>
      <xdr:col>18</xdr:col>
      <xdr:colOff>685800</xdr:colOff>
      <xdr:row>5</xdr:row>
      <xdr:rowOff>51435</xdr:rowOff>
    </xdr:to>
    <xdr:sp macro="[0]!POS_LoadProducts" textlink="">
      <xdr:nvSpPr>
        <xdr:cNvPr id="751" name="Subcategory2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SpPr/>
      </xdr:nvSpPr>
      <xdr:spPr>
        <a:xfrm>
          <a:off x="881062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Sayuran Hijau</a:t>
          </a:r>
        </a:p>
      </xdr:txBody>
    </xdr:sp>
    <xdr:clientData/>
  </xdr:twoCellAnchor>
  <xdr:twoCellAnchor>
    <xdr:from>
      <xdr:col>19</xdr:col>
      <xdr:colOff>0</xdr:colOff>
      <xdr:row>3</xdr:row>
      <xdr:rowOff>142875</xdr:rowOff>
    </xdr:from>
    <xdr:to>
      <xdr:col>19</xdr:col>
      <xdr:colOff>685800</xdr:colOff>
      <xdr:row>5</xdr:row>
      <xdr:rowOff>51435</xdr:rowOff>
    </xdr:to>
    <xdr:sp macro="[0]!POS_LoadProducts" textlink="">
      <xdr:nvSpPr>
        <xdr:cNvPr id="752" name="Subcategory3">
          <a:extLst>
            <a:ext uri="{FF2B5EF4-FFF2-40B4-BE49-F238E27FC236}">
              <a16:creationId xmlns:a16="http://schemas.microsoft.com/office/drawing/2014/main" id="{00000000-0008-0000-0100-0000F0020000}"/>
            </a:ext>
          </a:extLst>
        </xdr:cNvPr>
        <xdr:cNvSpPr/>
      </xdr:nvSpPr>
      <xdr:spPr>
        <a:xfrm>
          <a:off x="959167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Sayuran Umbi</a:t>
          </a:r>
        </a:p>
      </xdr:txBody>
    </xdr:sp>
    <xdr:clientData/>
  </xdr:twoCellAnchor>
  <xdr:twoCellAnchor>
    <xdr:from>
      <xdr:col>20</xdr:col>
      <xdr:colOff>0</xdr:colOff>
      <xdr:row>3</xdr:row>
      <xdr:rowOff>142875</xdr:rowOff>
    </xdr:from>
    <xdr:to>
      <xdr:col>20</xdr:col>
      <xdr:colOff>685800</xdr:colOff>
      <xdr:row>5</xdr:row>
      <xdr:rowOff>51435</xdr:rowOff>
    </xdr:to>
    <xdr:sp macro="[0]!POS_LoadProducts" textlink="">
      <xdr:nvSpPr>
        <xdr:cNvPr id="753" name="Subcategory4">
          <a:extLst>
            <a:ext uri="{FF2B5EF4-FFF2-40B4-BE49-F238E27FC236}">
              <a16:creationId xmlns:a16="http://schemas.microsoft.com/office/drawing/2014/main" id="{00000000-0008-0000-0100-0000F1020000}"/>
            </a:ext>
          </a:extLst>
        </xdr:cNvPr>
        <xdr:cNvSpPr/>
      </xdr:nvSpPr>
      <xdr:spPr>
        <a:xfrm>
          <a:off x="1037272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Buah Tropis</a:t>
          </a:r>
        </a:p>
      </xdr:txBody>
    </xdr:sp>
    <xdr:clientData/>
  </xdr:twoCellAnchor>
  <xdr:twoCellAnchor>
    <xdr:from>
      <xdr:col>21</xdr:col>
      <xdr:colOff>0</xdr:colOff>
      <xdr:row>3</xdr:row>
      <xdr:rowOff>142875</xdr:rowOff>
    </xdr:from>
    <xdr:to>
      <xdr:col>21</xdr:col>
      <xdr:colOff>685800</xdr:colOff>
      <xdr:row>5</xdr:row>
      <xdr:rowOff>51435</xdr:rowOff>
    </xdr:to>
    <xdr:sp macro="[0]!POS_LoadProducts" textlink="">
      <xdr:nvSpPr>
        <xdr:cNvPr id="754" name="Subcategory5">
          <a:extLst>
            <a:ext uri="{FF2B5EF4-FFF2-40B4-BE49-F238E27FC236}">
              <a16:creationId xmlns:a16="http://schemas.microsoft.com/office/drawing/2014/main" id="{00000000-0008-0000-0100-0000F2020000}"/>
            </a:ext>
          </a:extLst>
        </xdr:cNvPr>
        <xdr:cNvSpPr/>
      </xdr:nvSpPr>
      <xdr:spPr>
        <a:xfrm>
          <a:off x="1115377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Buah Impor</a:t>
          </a:r>
        </a:p>
      </xdr:txBody>
    </xdr:sp>
    <xdr:clientData/>
  </xdr:twoCellAnchor>
  <xdr:twoCellAnchor>
    <xdr:from>
      <xdr:col>22</xdr:col>
      <xdr:colOff>0</xdr:colOff>
      <xdr:row>3</xdr:row>
      <xdr:rowOff>142875</xdr:rowOff>
    </xdr:from>
    <xdr:to>
      <xdr:col>22</xdr:col>
      <xdr:colOff>685800</xdr:colOff>
      <xdr:row>5</xdr:row>
      <xdr:rowOff>51435</xdr:rowOff>
    </xdr:to>
    <xdr:sp macro="[0]!POS_LoadProducts" textlink="">
      <xdr:nvSpPr>
        <xdr:cNvPr id="755" name="Subcategory6">
          <a:extLst>
            <a:ext uri="{FF2B5EF4-FFF2-40B4-BE49-F238E27FC236}">
              <a16:creationId xmlns:a16="http://schemas.microsoft.com/office/drawing/2014/main" id="{00000000-0008-0000-0100-0000F3020000}"/>
            </a:ext>
          </a:extLst>
        </xdr:cNvPr>
        <xdr:cNvSpPr/>
      </xdr:nvSpPr>
      <xdr:spPr>
        <a:xfrm>
          <a:off x="1193482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Sayuran Buah</a:t>
          </a:r>
        </a:p>
      </xdr:txBody>
    </xdr:sp>
    <xdr:clientData/>
  </xdr:twoCellAnchor>
  <xdr:twoCellAnchor>
    <xdr:from>
      <xdr:col>17</xdr:col>
      <xdr:colOff>0</xdr:colOff>
      <xdr:row>5</xdr:row>
      <xdr:rowOff>152400</xdr:rowOff>
    </xdr:from>
    <xdr:to>
      <xdr:col>17</xdr:col>
      <xdr:colOff>685800</xdr:colOff>
      <xdr:row>7</xdr:row>
      <xdr:rowOff>60960</xdr:rowOff>
    </xdr:to>
    <xdr:sp macro="[0]!POS_LoadProducts" textlink="">
      <xdr:nvSpPr>
        <xdr:cNvPr id="826" name="Subcategory7">
          <a:extLst>
            <a:ext uri="{FF2B5EF4-FFF2-40B4-BE49-F238E27FC236}">
              <a16:creationId xmlns:a16="http://schemas.microsoft.com/office/drawing/2014/main" id="{00000000-0008-0000-0100-00003A030000}"/>
            </a:ext>
          </a:extLst>
        </xdr:cNvPr>
        <xdr:cNvSpPr/>
      </xdr:nvSpPr>
      <xdr:spPr>
        <a:xfrm>
          <a:off x="8290891" y="1958009"/>
          <a:ext cx="685800" cy="372386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Sayuran Organik</a:t>
          </a:r>
        </a:p>
      </xdr:txBody>
    </xdr:sp>
    <xdr:clientData/>
  </xdr:twoCellAnchor>
  <xdr:twoCellAnchor>
    <xdr:from>
      <xdr:col>18</xdr:col>
      <xdr:colOff>0</xdr:colOff>
      <xdr:row>5</xdr:row>
      <xdr:rowOff>152400</xdr:rowOff>
    </xdr:from>
    <xdr:to>
      <xdr:col>18</xdr:col>
      <xdr:colOff>685800</xdr:colOff>
      <xdr:row>7</xdr:row>
      <xdr:rowOff>60960</xdr:rowOff>
    </xdr:to>
    <xdr:sp macro="[0]!POS_LoadProducts" textlink="">
      <xdr:nvSpPr>
        <xdr:cNvPr id="827" name="Subcategory8">
          <a:extLst>
            <a:ext uri="{FF2B5EF4-FFF2-40B4-BE49-F238E27FC236}">
              <a16:creationId xmlns:a16="http://schemas.microsoft.com/office/drawing/2014/main" id="{00000000-0008-0000-0100-00003B030000}"/>
            </a:ext>
          </a:extLst>
        </xdr:cNvPr>
        <xdr:cNvSpPr/>
      </xdr:nvSpPr>
      <xdr:spPr>
        <a:xfrm>
          <a:off x="881062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Herbal Segar</a:t>
          </a:r>
        </a:p>
      </xdr:txBody>
    </xdr:sp>
    <xdr:clientData/>
  </xdr:twoCellAnchor>
  <xdr:twoCellAnchor>
    <xdr:from>
      <xdr:col>19</xdr:col>
      <xdr:colOff>0</xdr:colOff>
      <xdr:row>5</xdr:row>
      <xdr:rowOff>152400</xdr:rowOff>
    </xdr:from>
    <xdr:to>
      <xdr:col>19</xdr:col>
      <xdr:colOff>685800</xdr:colOff>
      <xdr:row>7</xdr:row>
      <xdr:rowOff>60960</xdr:rowOff>
    </xdr:to>
    <xdr:sp macro="[0]!POS_LoadProducts" textlink="">
      <xdr:nvSpPr>
        <xdr:cNvPr id="828" name="Subcategory9">
          <a:extLst>
            <a:ext uri="{FF2B5EF4-FFF2-40B4-BE49-F238E27FC236}">
              <a16:creationId xmlns:a16="http://schemas.microsoft.com/office/drawing/2014/main" id="{00000000-0008-0000-0100-00003C030000}"/>
            </a:ext>
          </a:extLst>
        </xdr:cNvPr>
        <xdr:cNvSpPr/>
      </xdr:nvSpPr>
      <xdr:spPr>
        <a:xfrm>
          <a:off x="959167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Jamur Segar</a:t>
          </a:r>
        </a:p>
      </xdr:txBody>
    </xdr:sp>
    <xdr:clientData/>
  </xdr:twoCellAnchor>
  <xdr:twoCellAnchor>
    <xdr:from>
      <xdr:col>20</xdr:col>
      <xdr:colOff>0</xdr:colOff>
      <xdr:row>5</xdr:row>
      <xdr:rowOff>152400</xdr:rowOff>
    </xdr:from>
    <xdr:to>
      <xdr:col>20</xdr:col>
      <xdr:colOff>685800</xdr:colOff>
      <xdr:row>7</xdr:row>
      <xdr:rowOff>60960</xdr:rowOff>
    </xdr:to>
    <xdr:sp macro="[0]!POS_LoadProducts" textlink="">
      <xdr:nvSpPr>
        <xdr:cNvPr id="829" name="Subcategory10">
          <a:extLst>
            <a:ext uri="{FF2B5EF4-FFF2-40B4-BE49-F238E27FC236}">
              <a16:creationId xmlns:a16="http://schemas.microsoft.com/office/drawing/2014/main" id="{00000000-0008-0000-0100-00003D030000}"/>
            </a:ext>
          </a:extLst>
        </xdr:cNvPr>
        <xdr:cNvSpPr/>
      </xdr:nvSpPr>
      <xdr:spPr>
        <a:xfrm>
          <a:off x="1037272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Kacang-kacangan</a:t>
          </a:r>
        </a:p>
      </xdr:txBody>
    </xdr:sp>
    <xdr:clientData/>
  </xdr:twoCellAnchor>
  <xdr:twoCellAnchor>
    <xdr:from>
      <xdr:col>21</xdr:col>
      <xdr:colOff>0</xdr:colOff>
      <xdr:row>5</xdr:row>
      <xdr:rowOff>152400</xdr:rowOff>
    </xdr:from>
    <xdr:to>
      <xdr:col>21</xdr:col>
      <xdr:colOff>685800</xdr:colOff>
      <xdr:row>7</xdr:row>
      <xdr:rowOff>60960</xdr:rowOff>
    </xdr:to>
    <xdr:sp macro="[0]!POS_LoadProducts" textlink="">
      <xdr:nvSpPr>
        <xdr:cNvPr id="830" name="Subcategory11">
          <a:extLst>
            <a:ext uri="{FF2B5EF4-FFF2-40B4-BE49-F238E27FC236}">
              <a16:creationId xmlns:a16="http://schemas.microsoft.com/office/drawing/2014/main" id="{00000000-0008-0000-0100-00003E030000}"/>
            </a:ext>
          </a:extLst>
        </xdr:cNvPr>
        <xdr:cNvSpPr/>
      </xdr:nvSpPr>
      <xdr:spPr>
        <a:xfrm>
          <a:off x="1115377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Biji-bijian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22</xdr:col>
      <xdr:colOff>685800</xdr:colOff>
      <xdr:row>7</xdr:row>
      <xdr:rowOff>60960</xdr:rowOff>
    </xdr:to>
    <xdr:sp macro="[0]!POS_LoadProducts" textlink="">
      <xdr:nvSpPr>
        <xdr:cNvPr id="831" name="Subcategory12">
          <a:extLst>
            <a:ext uri="{FF2B5EF4-FFF2-40B4-BE49-F238E27FC236}">
              <a16:creationId xmlns:a16="http://schemas.microsoft.com/office/drawing/2014/main" id="{00000000-0008-0000-0100-00003F030000}"/>
            </a:ext>
          </a:extLst>
        </xdr:cNvPr>
        <xdr:cNvSpPr/>
      </xdr:nvSpPr>
      <xdr:spPr>
        <a:xfrm>
          <a:off x="1193482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Buah Kering</a:t>
          </a:r>
        </a:p>
      </xdr:txBody>
    </xdr:sp>
    <xdr:clientData/>
  </xdr:twoCellAnchor>
  <xdr:twoCellAnchor>
    <xdr:from>
      <xdr:col>21</xdr:col>
      <xdr:colOff>205740</xdr:colOff>
      <xdr:row>1</xdr:row>
      <xdr:rowOff>128586</xdr:rowOff>
    </xdr:from>
    <xdr:to>
      <xdr:col>21</xdr:col>
      <xdr:colOff>480060</xdr:colOff>
      <xdr:row>1</xdr:row>
      <xdr:rowOff>402906</xdr:rowOff>
    </xdr:to>
    <xdr:pic macro="[0]!POS_LoadSubCategory">
      <xdr:nvPicPr>
        <xdr:cNvPr id="101" name="CatIcon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0892" y="691803"/>
          <a:ext cx="274320" cy="274320"/>
        </a:xfrm>
        <a:prstGeom prst="rect">
          <a:avLst/>
        </a:prstGeom>
        <a:noFill/>
      </xdr:spPr>
    </xdr:pic>
    <xdr:clientData/>
  </xdr:twoCellAnchor>
  <xdr:twoCellAnchor>
    <xdr:from>
      <xdr:col>17</xdr:col>
      <xdr:colOff>205740</xdr:colOff>
      <xdr:row>1</xdr:row>
      <xdr:rowOff>128586</xdr:rowOff>
    </xdr:from>
    <xdr:to>
      <xdr:col>17</xdr:col>
      <xdr:colOff>480060</xdr:colOff>
      <xdr:row>1</xdr:row>
      <xdr:rowOff>402906</xdr:rowOff>
    </xdr:to>
    <xdr:pic macro="[0]!POS_LoadSubCategory">
      <xdr:nvPicPr>
        <xdr:cNvPr id="102" name="CatIcon5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6631" y="691803"/>
          <a:ext cx="274320" cy="274320"/>
        </a:xfrm>
        <a:prstGeom prst="rect">
          <a:avLst/>
        </a:prstGeom>
      </xdr:spPr>
    </xdr:pic>
    <xdr:clientData/>
  </xdr:twoCellAnchor>
  <xdr:twoCellAnchor>
    <xdr:from>
      <xdr:col>18</xdr:col>
      <xdr:colOff>205740</xdr:colOff>
      <xdr:row>1</xdr:row>
      <xdr:rowOff>128586</xdr:rowOff>
    </xdr:from>
    <xdr:to>
      <xdr:col>18</xdr:col>
      <xdr:colOff>480060</xdr:colOff>
      <xdr:row>1</xdr:row>
      <xdr:rowOff>402906</xdr:rowOff>
    </xdr:to>
    <xdr:pic macro="[0]!POS_LoadSubCategory">
      <xdr:nvPicPr>
        <xdr:cNvPr id="104" name="CatIcon6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5197" y="691803"/>
          <a:ext cx="274320" cy="274320"/>
        </a:xfrm>
        <a:prstGeom prst="rect">
          <a:avLst/>
        </a:prstGeom>
      </xdr:spPr>
    </xdr:pic>
    <xdr:clientData/>
  </xdr:twoCellAnchor>
  <xdr:twoCellAnchor>
    <xdr:from>
      <xdr:col>22</xdr:col>
      <xdr:colOff>205740</xdr:colOff>
      <xdr:row>1</xdr:row>
      <xdr:rowOff>128586</xdr:rowOff>
    </xdr:from>
    <xdr:to>
      <xdr:col>22</xdr:col>
      <xdr:colOff>480060</xdr:colOff>
      <xdr:row>1</xdr:row>
      <xdr:rowOff>402906</xdr:rowOff>
    </xdr:to>
    <xdr:pic macro="[0]!POS_LoadSubCategory">
      <xdr:nvPicPr>
        <xdr:cNvPr id="105" name="CatIcon2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9457" y="691803"/>
          <a:ext cx="274320" cy="2743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"/>
  <dimension ref="A1:Q43"/>
  <sheetViews>
    <sheetView showGridLines="0" topLeftCell="I1" workbookViewId="0">
      <selection activeCell="L8" sqref="L8:M10"/>
    </sheetView>
  </sheetViews>
  <sheetFormatPr defaultRowHeight="15" x14ac:dyDescent="0.25"/>
  <cols>
    <col min="3" max="3" width="13.5703125" bestFit="1" customWidth="1"/>
    <col min="4" max="4" width="18.28515625" bestFit="1" customWidth="1"/>
    <col min="5" max="5" width="19.42578125" bestFit="1" customWidth="1"/>
    <col min="6" max="7" width="30" bestFit="1" customWidth="1"/>
    <col min="8" max="8" width="16.28515625" bestFit="1" customWidth="1"/>
    <col min="9" max="9" width="25.7109375" bestFit="1" customWidth="1"/>
    <col min="11" max="11" width="15.140625" bestFit="1" customWidth="1"/>
    <col min="12" max="12" width="18.5703125" bestFit="1" customWidth="1"/>
    <col min="13" max="13" width="43.85546875" customWidth="1"/>
    <col min="15" max="15" width="35.5703125" customWidth="1"/>
  </cols>
  <sheetData>
    <row r="1" spans="1:15" ht="39" customHeight="1" thickBot="1" x14ac:dyDescent="0.5">
      <c r="A1" s="47"/>
      <c r="B1" s="47"/>
      <c r="C1" s="91" t="s">
        <v>65</v>
      </c>
      <c r="D1" s="91"/>
      <c r="E1" s="91"/>
      <c r="F1" s="91"/>
      <c r="G1" s="91"/>
      <c r="H1" s="91"/>
      <c r="I1" s="91"/>
      <c r="J1" s="91"/>
      <c r="K1" s="91"/>
      <c r="L1" s="91"/>
      <c r="M1" s="91"/>
      <c r="N1" s="47"/>
      <c r="O1" s="47"/>
    </row>
    <row r="2" spans="1:15" x14ac:dyDescent="0.25">
      <c r="A2" s="14"/>
      <c r="B2" s="14"/>
      <c r="C2" s="96" t="s">
        <v>40</v>
      </c>
      <c r="D2" s="97"/>
      <c r="E2" s="97"/>
      <c r="F2" s="97"/>
      <c r="G2" s="97"/>
      <c r="H2" s="97"/>
      <c r="I2" s="98"/>
      <c r="J2" s="14"/>
      <c r="K2" s="99" t="s">
        <v>75</v>
      </c>
      <c r="L2" s="100"/>
      <c r="M2" s="101"/>
      <c r="N2" s="14"/>
      <c r="O2" s="14"/>
    </row>
    <row r="3" spans="1:15" x14ac:dyDescent="0.25">
      <c r="A3" s="4"/>
      <c r="B3" s="4"/>
      <c r="C3" s="48"/>
      <c r="D3" s="49" t="s">
        <v>41</v>
      </c>
      <c r="E3" s="49" t="s">
        <v>42</v>
      </c>
      <c r="F3" s="49" t="s">
        <v>43</v>
      </c>
      <c r="G3" s="49" t="s">
        <v>44</v>
      </c>
      <c r="H3" s="49" t="s">
        <v>45</v>
      </c>
      <c r="I3" s="49" t="s">
        <v>46</v>
      </c>
      <c r="J3" s="4"/>
      <c r="K3" s="72" t="s">
        <v>7</v>
      </c>
      <c r="L3" s="37" t="s">
        <v>90</v>
      </c>
      <c r="M3" s="36"/>
      <c r="N3" s="4"/>
      <c r="O3" s="4"/>
    </row>
    <row r="4" spans="1:15" x14ac:dyDescent="0.25">
      <c r="A4" s="4"/>
      <c r="B4" s="4"/>
      <c r="C4" s="75" t="s">
        <v>1</v>
      </c>
      <c r="D4" s="64" t="s">
        <v>298</v>
      </c>
      <c r="E4" s="64" t="s">
        <v>299</v>
      </c>
      <c r="F4" s="64" t="s">
        <v>300</v>
      </c>
      <c r="G4" s="64" t="s">
        <v>301</v>
      </c>
      <c r="H4" s="64" t="s">
        <v>302</v>
      </c>
      <c r="I4" s="64" t="s">
        <v>303</v>
      </c>
      <c r="J4" s="4"/>
      <c r="K4" s="72" t="s">
        <v>8</v>
      </c>
      <c r="L4" s="50">
        <v>0.11</v>
      </c>
      <c r="M4" s="36"/>
      <c r="N4" s="4"/>
      <c r="O4" s="4"/>
    </row>
    <row r="5" spans="1:15" x14ac:dyDescent="0.25">
      <c r="A5" s="4"/>
      <c r="B5" s="4"/>
      <c r="C5" s="94" t="s">
        <v>29</v>
      </c>
      <c r="D5" s="51" t="s">
        <v>199</v>
      </c>
      <c r="E5" s="12" t="s">
        <v>211</v>
      </c>
      <c r="F5" s="12" t="s">
        <v>223</v>
      </c>
      <c r="G5" s="12" t="s">
        <v>235</v>
      </c>
      <c r="H5" s="12" t="s">
        <v>247</v>
      </c>
      <c r="I5" s="12" t="s">
        <v>270</v>
      </c>
      <c r="J5" s="4"/>
      <c r="K5" s="73" t="s">
        <v>64</v>
      </c>
      <c r="L5" s="92" t="s">
        <v>811</v>
      </c>
      <c r="M5" s="93"/>
      <c r="N5" s="4"/>
      <c r="O5" s="4"/>
    </row>
    <row r="6" spans="1:15" x14ac:dyDescent="0.25">
      <c r="A6" s="4"/>
      <c r="B6" s="4"/>
      <c r="C6" s="94"/>
      <c r="D6" s="51" t="s">
        <v>200</v>
      </c>
      <c r="E6" s="12" t="s">
        <v>212</v>
      </c>
      <c r="F6" s="12" t="s">
        <v>224</v>
      </c>
      <c r="G6" s="12" t="s">
        <v>236</v>
      </c>
      <c r="H6" s="12" t="s">
        <v>258</v>
      </c>
      <c r="I6" s="12" t="s">
        <v>269</v>
      </c>
      <c r="J6" s="4"/>
      <c r="K6" s="74" t="s">
        <v>76</v>
      </c>
      <c r="L6" s="102" t="s">
        <v>74</v>
      </c>
      <c r="M6" s="103"/>
      <c r="N6" s="4"/>
      <c r="O6" s="4"/>
    </row>
    <row r="7" spans="1:15" x14ac:dyDescent="0.25">
      <c r="A7" s="4"/>
      <c r="B7" s="4"/>
      <c r="C7" s="94"/>
      <c r="D7" s="51" t="s">
        <v>201</v>
      </c>
      <c r="E7" s="12" t="s">
        <v>213</v>
      </c>
      <c r="F7" s="12" t="s">
        <v>225</v>
      </c>
      <c r="G7" s="12" t="s">
        <v>237</v>
      </c>
      <c r="H7" s="12" t="s">
        <v>257</v>
      </c>
      <c r="I7" s="12" t="s">
        <v>268</v>
      </c>
      <c r="J7" s="4"/>
      <c r="K7" s="52" t="s">
        <v>22</v>
      </c>
      <c r="L7" s="74" t="s">
        <v>73</v>
      </c>
      <c r="M7" s="74" t="s">
        <v>12</v>
      </c>
      <c r="N7" s="4"/>
      <c r="O7" s="4"/>
    </row>
    <row r="8" spans="1:15" x14ac:dyDescent="0.25">
      <c r="A8" s="4"/>
      <c r="B8" s="4"/>
      <c r="C8" s="94"/>
      <c r="D8" s="51" t="s">
        <v>202</v>
      </c>
      <c r="E8" s="12" t="s">
        <v>214</v>
      </c>
      <c r="F8" s="12" t="s">
        <v>226</v>
      </c>
      <c r="G8" s="12" t="s">
        <v>238</v>
      </c>
      <c r="H8" s="12" t="s">
        <v>256</v>
      </c>
      <c r="I8" s="12" t="s">
        <v>267</v>
      </c>
      <c r="J8" s="4"/>
      <c r="K8" s="52" t="s">
        <v>23</v>
      </c>
      <c r="L8" s="52" t="s">
        <v>68</v>
      </c>
      <c r="M8" s="52" t="s">
        <v>13</v>
      </c>
      <c r="N8" s="4"/>
      <c r="O8" s="4"/>
    </row>
    <row r="9" spans="1:15" x14ac:dyDescent="0.25">
      <c r="A9" s="4"/>
      <c r="B9" s="4"/>
      <c r="C9" s="94"/>
      <c r="D9" s="51" t="s">
        <v>203</v>
      </c>
      <c r="E9" s="12" t="s">
        <v>215</v>
      </c>
      <c r="F9" s="12" t="s">
        <v>227</v>
      </c>
      <c r="G9" s="12" t="s">
        <v>239</v>
      </c>
      <c r="H9" s="12" t="s">
        <v>255</v>
      </c>
      <c r="I9" s="12" t="s">
        <v>266</v>
      </c>
      <c r="J9" s="4"/>
      <c r="K9" s="52" t="s">
        <v>24</v>
      </c>
      <c r="L9" s="52" t="s">
        <v>67</v>
      </c>
      <c r="M9" s="52" t="s">
        <v>70</v>
      </c>
      <c r="N9" s="4"/>
      <c r="O9" s="4"/>
    </row>
    <row r="10" spans="1:15" x14ac:dyDescent="0.25">
      <c r="A10" s="4"/>
      <c r="B10" s="4"/>
      <c r="C10" s="94"/>
      <c r="D10" s="51" t="s">
        <v>204</v>
      </c>
      <c r="E10" s="12" t="s">
        <v>216</v>
      </c>
      <c r="F10" s="12" t="s">
        <v>228</v>
      </c>
      <c r="G10" s="12" t="s">
        <v>240</v>
      </c>
      <c r="H10" s="12" t="s">
        <v>254</v>
      </c>
      <c r="I10" s="12" t="s">
        <v>265</v>
      </c>
      <c r="J10" s="4"/>
      <c r="K10" s="52" t="s">
        <v>25</v>
      </c>
      <c r="L10" s="52" t="s">
        <v>66</v>
      </c>
      <c r="M10" s="52" t="s">
        <v>69</v>
      </c>
      <c r="N10" s="4"/>
      <c r="O10" s="4"/>
    </row>
    <row r="11" spans="1:15" x14ac:dyDescent="0.25">
      <c r="A11" s="4"/>
      <c r="B11" s="4"/>
      <c r="C11" s="94"/>
      <c r="D11" s="51" t="s">
        <v>205</v>
      </c>
      <c r="E11" s="12" t="s">
        <v>217</v>
      </c>
      <c r="F11" s="12" t="s">
        <v>229</v>
      </c>
      <c r="G11" s="12" t="s">
        <v>241</v>
      </c>
      <c r="H11" s="12" t="s">
        <v>253</v>
      </c>
      <c r="I11" s="12" t="s">
        <v>264</v>
      </c>
      <c r="J11" s="4"/>
      <c r="K11" s="4"/>
      <c r="L11" s="4"/>
      <c r="M11" s="4"/>
      <c r="N11" s="4"/>
      <c r="O11" s="4"/>
    </row>
    <row r="12" spans="1:15" x14ac:dyDescent="0.25">
      <c r="A12" s="4"/>
      <c r="B12" s="4"/>
      <c r="C12" s="94"/>
      <c r="D12" s="51" t="s">
        <v>206</v>
      </c>
      <c r="E12" s="12" t="s">
        <v>218</v>
      </c>
      <c r="F12" s="12" t="s">
        <v>230</v>
      </c>
      <c r="G12" s="12" t="s">
        <v>242</v>
      </c>
      <c r="H12" s="12" t="s">
        <v>252</v>
      </c>
      <c r="I12" s="12" t="s">
        <v>263</v>
      </c>
      <c r="J12" s="4"/>
      <c r="K12" s="4"/>
      <c r="L12" s="4"/>
      <c r="M12" s="4"/>
      <c r="N12" s="4"/>
      <c r="O12" s="4"/>
    </row>
    <row r="13" spans="1:15" x14ac:dyDescent="0.25">
      <c r="A13" s="4"/>
      <c r="B13" s="4"/>
      <c r="C13" s="94"/>
      <c r="D13" s="51" t="s">
        <v>207</v>
      </c>
      <c r="E13" s="12" t="s">
        <v>219</v>
      </c>
      <c r="F13" s="12" t="s">
        <v>231</v>
      </c>
      <c r="G13" s="12" t="s">
        <v>243</v>
      </c>
      <c r="H13" s="12" t="s">
        <v>251</v>
      </c>
      <c r="I13" s="12" t="s">
        <v>262</v>
      </c>
      <c r="J13" s="4"/>
      <c r="K13" s="4"/>
      <c r="L13" s="4"/>
      <c r="M13" s="4"/>
      <c r="N13" s="4"/>
      <c r="O13" s="4"/>
    </row>
    <row r="14" spans="1:15" x14ac:dyDescent="0.25">
      <c r="A14" s="4"/>
      <c r="B14" s="4"/>
      <c r="C14" s="94"/>
      <c r="D14" s="51" t="s">
        <v>208</v>
      </c>
      <c r="E14" s="12" t="s">
        <v>220</v>
      </c>
      <c r="F14" s="12" t="s">
        <v>232</v>
      </c>
      <c r="G14" s="12" t="s">
        <v>244</v>
      </c>
      <c r="H14" s="12" t="s">
        <v>250</v>
      </c>
      <c r="I14" s="12" t="s">
        <v>261</v>
      </c>
      <c r="J14" s="4"/>
      <c r="K14" s="4"/>
      <c r="L14" s="4"/>
      <c r="M14" s="4"/>
      <c r="N14" s="4"/>
      <c r="O14" s="4"/>
    </row>
    <row r="15" spans="1:15" x14ac:dyDescent="0.25">
      <c r="A15" s="4"/>
      <c r="B15" s="4"/>
      <c r="C15" s="94"/>
      <c r="D15" s="51" t="s">
        <v>209</v>
      </c>
      <c r="E15" s="12" t="s">
        <v>221</v>
      </c>
      <c r="F15" s="12" t="s">
        <v>233</v>
      </c>
      <c r="G15" s="12" t="s">
        <v>245</v>
      </c>
      <c r="H15" s="12" t="s">
        <v>249</v>
      </c>
      <c r="I15" s="12" t="s">
        <v>260</v>
      </c>
      <c r="J15" s="4"/>
      <c r="K15" s="4"/>
      <c r="L15" s="33"/>
      <c r="M15" s="4"/>
      <c r="N15" s="4"/>
      <c r="O15" s="4"/>
    </row>
    <row r="16" spans="1:15" ht="15.75" thickBot="1" x14ac:dyDescent="0.3">
      <c r="A16" s="4"/>
      <c r="B16" s="4"/>
      <c r="C16" s="95"/>
      <c r="D16" s="51" t="s">
        <v>210</v>
      </c>
      <c r="E16" s="12" t="s">
        <v>222</v>
      </c>
      <c r="F16" s="12" t="s">
        <v>234</v>
      </c>
      <c r="G16" s="12" t="s">
        <v>246</v>
      </c>
      <c r="H16" s="12" t="s">
        <v>248</v>
      </c>
      <c r="I16" s="12" t="s">
        <v>259</v>
      </c>
      <c r="J16" s="4"/>
      <c r="K16" s="4"/>
      <c r="L16" s="33"/>
      <c r="M16" s="4"/>
      <c r="N16" s="4"/>
      <c r="O16" s="4"/>
    </row>
    <row r="17" spans="1:17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33"/>
      <c r="M17" s="4"/>
      <c r="N17" s="4"/>
      <c r="O17" s="4"/>
    </row>
    <row r="18" spans="1:17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33"/>
      <c r="M18" s="4"/>
      <c r="N18" s="4"/>
      <c r="O18" s="4"/>
    </row>
    <row r="19" spans="1:17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33"/>
      <c r="M19" s="22"/>
      <c r="N19" s="22"/>
      <c r="O19" s="22"/>
      <c r="P19" s="1"/>
      <c r="Q19" s="1"/>
    </row>
    <row r="20" spans="1:17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33"/>
      <c r="M20" s="4"/>
      <c r="N20" s="4"/>
      <c r="O20" s="4"/>
    </row>
    <row r="21" spans="1:17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33"/>
      <c r="M21" s="4"/>
      <c r="N21" s="4"/>
      <c r="O21" s="4"/>
    </row>
    <row r="22" spans="1:17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33"/>
      <c r="M22" s="4"/>
      <c r="N22" s="4"/>
      <c r="O22" s="4"/>
    </row>
    <row r="23" spans="1:17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33"/>
      <c r="M23" s="4"/>
      <c r="N23" s="4"/>
      <c r="O23" s="4"/>
    </row>
    <row r="24" spans="1:17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33"/>
      <c r="M24" s="4"/>
      <c r="N24" s="4"/>
      <c r="O24" s="4"/>
    </row>
    <row r="25" spans="1:17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33"/>
      <c r="M25" s="4"/>
      <c r="N25" s="4"/>
      <c r="O25" s="4"/>
    </row>
    <row r="26" spans="1:1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7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7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</row>
    <row r="29" spans="1:17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</row>
    <row r="30" spans="1:17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</row>
    <row r="31" spans="1:17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  <row r="32" spans="1:17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</row>
    <row r="33" spans="1:15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1:15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</row>
    <row r="35" spans="1:15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</row>
    <row r="36" spans="1:15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</row>
    <row r="37" spans="1:15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</row>
    <row r="38" spans="1:15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</row>
    <row r="39" spans="1:15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</row>
    <row r="40" spans="1:15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</row>
    <row r="41" spans="1:15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</row>
    <row r="42" spans="1:15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</row>
    <row r="43" spans="1:15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</row>
  </sheetData>
  <mergeCells count="6">
    <mergeCell ref="C1:M1"/>
    <mergeCell ref="L5:M5"/>
    <mergeCell ref="C5:C16"/>
    <mergeCell ref="C2:I2"/>
    <mergeCell ref="K2:M2"/>
    <mergeCell ref="L6:M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OS">
    <pageSetUpPr autoPageBreaks="0"/>
  </sheetPr>
  <dimension ref="A1:Z1000"/>
  <sheetViews>
    <sheetView showGridLines="0" tabSelected="1" topLeftCell="I1" zoomScale="115" zoomScaleNormal="115" workbookViewId="0">
      <selection activeCell="N20" sqref="N20"/>
    </sheetView>
  </sheetViews>
  <sheetFormatPr defaultRowHeight="15" x14ac:dyDescent="0.25"/>
  <cols>
    <col min="1" max="1" width="16.85546875" bestFit="1" customWidth="1"/>
    <col min="2" max="2" width="11.7109375" customWidth="1"/>
    <col min="3" max="3" width="2.42578125" customWidth="1"/>
    <col min="4" max="4" width="18" hidden="1" customWidth="1"/>
    <col min="5" max="5" width="24.85546875" hidden="1" customWidth="1"/>
    <col min="6" max="6" width="6.7109375" hidden="1" customWidth="1"/>
    <col min="7" max="7" width="2.42578125" hidden="1" customWidth="1"/>
    <col min="8" max="8" width="9.140625" hidden="1" customWidth="1"/>
    <col min="9" max="9" width="14.28515625" customWidth="1"/>
    <col min="10" max="10" width="21" customWidth="1"/>
    <col min="11" max="11" width="9.7109375" bestFit="1" customWidth="1"/>
    <col min="12" max="12" width="12" style="62" bestFit="1" customWidth="1"/>
    <col min="13" max="13" width="9.140625" style="62"/>
    <col min="14" max="14" width="12.85546875" style="62" bestFit="1" customWidth="1"/>
    <col min="15" max="15" width="5.28515625" customWidth="1"/>
    <col min="16" max="16" width="6.85546875" customWidth="1"/>
    <col min="17" max="17" width="2" customWidth="1"/>
    <col min="18" max="23" width="11.7109375" customWidth="1"/>
  </cols>
  <sheetData>
    <row r="1" spans="1:26" ht="44.25" customHeight="1" x14ac:dyDescent="0.25">
      <c r="A1" s="41" t="s">
        <v>18</v>
      </c>
      <c r="B1" s="42" t="s">
        <v>77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42.75" customHeight="1" x14ac:dyDescent="0.25">
      <c r="A2" s="44" t="s">
        <v>17</v>
      </c>
      <c r="B2" s="45" t="b">
        <v>0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5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18" customHeight="1" x14ac:dyDescent="0.25">
      <c r="A3" s="44" t="s">
        <v>58</v>
      </c>
      <c r="B3" s="45" t="str">
        <f ca="1">IFERROR(MATCH(P4,Order_ID,0)+2,"")</f>
        <v/>
      </c>
      <c r="C3" s="4"/>
      <c r="D3" s="106" t="s">
        <v>47</v>
      </c>
      <c r="E3" s="106"/>
      <c r="F3" s="106"/>
      <c r="G3" s="4"/>
      <c r="H3" s="4"/>
      <c r="I3" s="9" t="s">
        <v>78</v>
      </c>
      <c r="J3" s="10" t="s">
        <v>822</v>
      </c>
      <c r="K3" s="16" t="s">
        <v>26</v>
      </c>
      <c r="L3" s="108" t="s">
        <v>93</v>
      </c>
      <c r="M3" s="108"/>
      <c r="N3" s="16" t="s">
        <v>84</v>
      </c>
      <c r="O3" s="108" t="s">
        <v>22</v>
      </c>
      <c r="P3" s="108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8" customHeight="1" x14ac:dyDescent="0.25">
      <c r="A4" s="44" t="s">
        <v>52</v>
      </c>
      <c r="B4" s="45">
        <f ca="1">IFERROR(MAX(Order_ID)+1,"10000")</f>
        <v>10002</v>
      </c>
      <c r="C4" s="4"/>
      <c r="D4" s="17" t="s">
        <v>31</v>
      </c>
      <c r="E4" s="17" t="s">
        <v>81</v>
      </c>
      <c r="F4" s="17" t="s">
        <v>30</v>
      </c>
      <c r="G4" s="4"/>
      <c r="H4" s="4"/>
      <c r="I4" s="18" t="str">
        <f>IF(B1="SALE","Customer:","Vendor:")</f>
        <v>Vendor:</v>
      </c>
      <c r="J4" s="12"/>
      <c r="K4" s="18" t="s">
        <v>83</v>
      </c>
      <c r="L4" s="110">
        <v>45494.775405092594</v>
      </c>
      <c r="M4" s="110"/>
      <c r="N4" s="109" t="s">
        <v>9</v>
      </c>
      <c r="O4" s="109"/>
      <c r="P4" s="12">
        <v>10002</v>
      </c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8" customHeight="1" x14ac:dyDescent="0.25">
      <c r="A5" s="44" t="s">
        <v>53</v>
      </c>
      <c r="B5" s="45" t="str">
        <f ca="1">IFERROR(MATCH(I3,Order_ID,0)+2,"")</f>
        <v/>
      </c>
      <c r="C5" s="4"/>
      <c r="D5" s="19">
        <v>45494.839537037034</v>
      </c>
      <c r="E5" s="4" t="s">
        <v>818</v>
      </c>
      <c r="F5" s="4">
        <v>10001</v>
      </c>
      <c r="G5" s="4"/>
      <c r="H5" s="4"/>
      <c r="I5" s="20" t="s">
        <v>82</v>
      </c>
      <c r="J5" s="13"/>
      <c r="K5" s="4"/>
      <c r="L5" s="4"/>
      <c r="M5" s="4"/>
      <c r="N5" s="4" t="str">
        <f>IF(K5="","",(K5*L5)-(K5*L5)*M5)</f>
        <v/>
      </c>
      <c r="O5" s="4"/>
      <c r="P5" s="107" t="s">
        <v>10</v>
      </c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8" customHeight="1" x14ac:dyDescent="0.25">
      <c r="A6" s="44" t="s">
        <v>20</v>
      </c>
      <c r="B6" s="45"/>
      <c r="C6" s="4"/>
      <c r="D6" s="21"/>
      <c r="E6" s="4"/>
      <c r="F6" s="4"/>
      <c r="G6" s="22"/>
      <c r="H6" s="23" t="s">
        <v>87</v>
      </c>
      <c r="I6" s="24" t="s">
        <v>85</v>
      </c>
      <c r="J6" s="25" t="s">
        <v>2</v>
      </c>
      <c r="K6" s="25" t="s">
        <v>3</v>
      </c>
      <c r="L6" s="25" t="s">
        <v>4</v>
      </c>
      <c r="M6" s="25" t="s">
        <v>5</v>
      </c>
      <c r="N6" s="25" t="s">
        <v>6</v>
      </c>
      <c r="O6" s="25"/>
      <c r="P6" s="107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8" customHeight="1" x14ac:dyDescent="0.25">
      <c r="A7" s="44" t="s">
        <v>86</v>
      </c>
      <c r="B7" s="45" t="str">
        <f ca="1">IFERROR(MATCH(J5,Prod_SKU,0)+2,"")</f>
        <v/>
      </c>
      <c r="C7" s="4"/>
      <c r="D7" s="21"/>
      <c r="E7" s="4"/>
      <c r="F7" s="4"/>
      <c r="G7" s="4"/>
      <c r="H7" s="23"/>
      <c r="I7" s="5"/>
      <c r="J7" s="6"/>
      <c r="K7" s="8"/>
      <c r="L7" s="54"/>
      <c r="M7" s="55"/>
      <c r="N7" s="54"/>
      <c r="O7" s="7"/>
      <c r="P7" s="26" t="str">
        <f t="shared" ref="P7:P70" si="0">IF(I7="","",SUMIFS(OrderItems_Qty,OrderItems_Type,"PURCHASE",OrderItems_SKU,I7)-SUMIFS(OrderItems_Qty,OrderItems_Type,"SALE",OrderItems_SKU,I7))</f>
        <v/>
      </c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" customHeight="1" x14ac:dyDescent="0.25">
      <c r="A8" s="44" t="s">
        <v>79</v>
      </c>
      <c r="B8" s="45">
        <v>5</v>
      </c>
      <c r="C8" s="4"/>
      <c r="D8" s="21"/>
      <c r="E8" s="4"/>
      <c r="F8" s="4"/>
      <c r="G8" s="4"/>
      <c r="H8" s="23"/>
      <c r="I8" s="27"/>
      <c r="J8" s="28"/>
      <c r="K8" s="29"/>
      <c r="L8" s="56"/>
      <c r="M8" s="57"/>
      <c r="N8" s="56"/>
      <c r="O8" s="30"/>
      <c r="P8" s="29" t="str">
        <f t="shared" si="0"/>
        <v/>
      </c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" customHeight="1" x14ac:dyDescent="0.25">
      <c r="A9" s="44" t="s">
        <v>11</v>
      </c>
      <c r="B9" s="45">
        <v>1</v>
      </c>
      <c r="C9" s="4"/>
      <c r="D9" s="21"/>
      <c r="E9" s="4"/>
      <c r="F9" s="4"/>
      <c r="G9" s="4"/>
      <c r="H9" s="23"/>
      <c r="I9" s="27"/>
      <c r="J9" s="28"/>
      <c r="K9" s="29"/>
      <c r="L9" s="56"/>
      <c r="M9" s="57"/>
      <c r="N9" s="56"/>
      <c r="O9" s="30"/>
      <c r="P9" s="29" t="str">
        <f t="shared" si="0"/>
        <v/>
      </c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" customHeight="1" x14ac:dyDescent="0.25">
      <c r="A10" s="44" t="s">
        <v>27</v>
      </c>
      <c r="B10" s="45">
        <f ca="1">IFERROR(MATCH(B9,User_ID,0)+2,"")</f>
        <v>3</v>
      </c>
      <c r="C10" s="4"/>
      <c r="D10" s="21"/>
      <c r="E10" s="4"/>
      <c r="F10" s="4"/>
      <c r="G10" s="4"/>
      <c r="H10" s="23"/>
      <c r="I10" s="27"/>
      <c r="J10" s="28"/>
      <c r="K10" s="29"/>
      <c r="L10" s="56"/>
      <c r="M10" s="57"/>
      <c r="N10" s="56"/>
      <c r="O10" s="30"/>
      <c r="P10" s="29" t="str">
        <f t="shared" si="0"/>
        <v/>
      </c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" customHeight="1" x14ac:dyDescent="0.25">
      <c r="A11" s="44" t="s">
        <v>80</v>
      </c>
      <c r="B11" s="45" t="str">
        <f ca="1">IFERROR(INDEX(User_Role,B10-2,1),"")</f>
        <v>Manager</v>
      </c>
      <c r="C11" s="4"/>
      <c r="D11" s="21"/>
      <c r="E11" s="4"/>
      <c r="F11" s="4"/>
      <c r="G11" s="4"/>
      <c r="H11" s="23"/>
      <c r="I11" s="27"/>
      <c r="J11" s="31"/>
      <c r="K11" s="29"/>
      <c r="L11" s="56"/>
      <c r="M11" s="57"/>
      <c r="N11" s="56"/>
      <c r="O11" s="30"/>
      <c r="P11" s="29" t="str">
        <f t="shared" si="0"/>
        <v/>
      </c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" customHeight="1" x14ac:dyDescent="0.25">
      <c r="A12" s="44"/>
      <c r="B12" s="44"/>
      <c r="C12" s="4"/>
      <c r="D12" s="21"/>
      <c r="E12" s="4"/>
      <c r="F12" s="4"/>
      <c r="G12" s="4"/>
      <c r="H12" s="23"/>
      <c r="I12" s="27"/>
      <c r="J12" s="31"/>
      <c r="K12" s="29"/>
      <c r="L12" s="56"/>
      <c r="M12" s="57"/>
      <c r="N12" s="56"/>
      <c r="O12" s="30"/>
      <c r="P12" s="29" t="str">
        <f t="shared" si="0"/>
        <v/>
      </c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" customHeight="1" x14ac:dyDescent="0.25">
      <c r="A13" s="44" t="s">
        <v>14</v>
      </c>
      <c r="B13" s="46">
        <f>SUM(N7:N999)</f>
        <v>0</v>
      </c>
      <c r="C13" s="4"/>
      <c r="D13" s="21"/>
      <c r="E13" s="4"/>
      <c r="F13" s="4"/>
      <c r="G13" s="4"/>
      <c r="H13" s="23"/>
      <c r="I13" s="27"/>
      <c r="J13" s="31"/>
      <c r="K13" s="29"/>
      <c r="L13" s="56"/>
      <c r="M13" s="57"/>
      <c r="N13" s="56"/>
      <c r="O13" s="30"/>
      <c r="P13" s="29" t="str">
        <f t="shared" si="0"/>
        <v/>
      </c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" customHeight="1" x14ac:dyDescent="0.25">
      <c r="A14" s="44" t="str">
        <f>TaxName&amp;"("&amp;TEXT(TaxRate,"0%")&amp;"):"</f>
        <v>PPN(11%):</v>
      </c>
      <c r="B14" s="46">
        <f>B13*TaxRate</f>
        <v>0</v>
      </c>
      <c r="C14" s="4"/>
      <c r="D14" s="21"/>
      <c r="E14" s="4"/>
      <c r="F14" s="4"/>
      <c r="G14" s="4"/>
      <c r="H14" s="23"/>
      <c r="I14" s="27"/>
      <c r="J14" s="31"/>
      <c r="K14" s="29"/>
      <c r="L14" s="56"/>
      <c r="M14" s="57"/>
      <c r="N14" s="56"/>
      <c r="O14" s="30"/>
      <c r="P14" s="29" t="str">
        <f t="shared" si="0"/>
        <v/>
      </c>
      <c r="Q14" s="4"/>
      <c r="R14" s="104" t="str">
        <f>UPPER("petunjuk operasional :")</f>
        <v>PETUNJUK OPERASIONAL :</v>
      </c>
      <c r="S14" s="104"/>
      <c r="T14" s="104"/>
      <c r="U14" s="104"/>
      <c r="V14" s="104"/>
      <c r="W14" s="104"/>
      <c r="X14" s="4"/>
      <c r="Y14" s="4"/>
      <c r="Z14" s="4"/>
    </row>
    <row r="15" spans="1:26" ht="18" customHeight="1" x14ac:dyDescent="0.25">
      <c r="A15" s="44" t="s">
        <v>6</v>
      </c>
      <c r="B15" s="46">
        <f>SUM(B13:B14)</f>
        <v>0</v>
      </c>
      <c r="C15" s="4"/>
      <c r="D15" s="21"/>
      <c r="E15" s="4"/>
      <c r="F15" s="4"/>
      <c r="G15" s="4"/>
      <c r="H15" s="23"/>
      <c r="I15" s="27"/>
      <c r="J15" s="28"/>
      <c r="K15" s="29"/>
      <c r="L15" s="56"/>
      <c r="M15" s="57"/>
      <c r="N15" s="56"/>
      <c r="O15" s="30"/>
      <c r="P15" s="29" t="str">
        <f t="shared" si="0"/>
        <v/>
      </c>
      <c r="Q15" s="4"/>
      <c r="R15" s="87" t="s">
        <v>832</v>
      </c>
      <c r="X15" s="4"/>
      <c r="Y15" s="4"/>
      <c r="Z15" s="4"/>
    </row>
    <row r="16" spans="1:26" ht="18" customHeight="1" x14ac:dyDescent="0.25">
      <c r="A16" s="44" t="s">
        <v>15</v>
      </c>
      <c r="B16" s="46"/>
      <c r="C16" s="4"/>
      <c r="D16" s="21"/>
      <c r="E16" s="4"/>
      <c r="F16" s="4"/>
      <c r="G16" s="4"/>
      <c r="H16" s="23"/>
      <c r="I16" s="27"/>
      <c r="J16" s="28"/>
      <c r="K16" s="29"/>
      <c r="L16" s="56"/>
      <c r="M16" s="57"/>
      <c r="N16" s="56"/>
      <c r="O16" s="30"/>
      <c r="P16" s="29" t="str">
        <f t="shared" si="0"/>
        <v/>
      </c>
      <c r="Q16" s="4"/>
      <c r="R16" t="s">
        <v>833</v>
      </c>
      <c r="X16" s="4"/>
      <c r="Y16" s="4"/>
      <c r="Z16" s="4"/>
    </row>
    <row r="17" spans="1:26" ht="18" customHeight="1" x14ac:dyDescent="0.25">
      <c r="A17" s="44" t="s">
        <v>16</v>
      </c>
      <c r="B17" s="46" t="str">
        <f>IF(B16="","",B16-B15)</f>
        <v/>
      </c>
      <c r="C17" s="4"/>
      <c r="D17" s="21"/>
      <c r="E17" s="4"/>
      <c r="F17" s="4"/>
      <c r="G17" s="4"/>
      <c r="H17" s="23"/>
      <c r="I17" s="27"/>
      <c r="J17" s="28"/>
      <c r="K17" s="29"/>
      <c r="L17" s="56"/>
      <c r="M17" s="57"/>
      <c r="N17" s="56"/>
      <c r="O17" s="30"/>
      <c r="P17" s="29" t="str">
        <f t="shared" si="0"/>
        <v/>
      </c>
      <c r="Q17" s="4"/>
      <c r="R17" t="s">
        <v>841</v>
      </c>
      <c r="X17" s="4"/>
      <c r="Y17" s="4"/>
      <c r="Z17" s="4"/>
    </row>
    <row r="18" spans="1:26" ht="18" customHeight="1" x14ac:dyDescent="0.25">
      <c r="A18" s="43"/>
      <c r="B18" s="43"/>
      <c r="C18" s="4"/>
      <c r="D18" s="21"/>
      <c r="E18" s="4"/>
      <c r="F18" s="4"/>
      <c r="G18" s="4"/>
      <c r="H18" s="23"/>
      <c r="I18" s="27"/>
      <c r="J18" s="28"/>
      <c r="K18" s="29"/>
      <c r="L18" s="56"/>
      <c r="M18" s="57"/>
      <c r="N18" s="56"/>
      <c r="O18" s="30"/>
      <c r="P18" s="29" t="str">
        <f t="shared" si="0"/>
        <v/>
      </c>
      <c r="Q18" s="4"/>
      <c r="X18" s="4"/>
      <c r="Y18" s="4"/>
      <c r="Z18" s="4"/>
    </row>
    <row r="19" spans="1:26" ht="18" customHeight="1" x14ac:dyDescent="0.25">
      <c r="A19" s="39" t="s">
        <v>88</v>
      </c>
      <c r="B19" s="38" t="b">
        <f ca="1">IFERROR(IF(AND(B1="SALE",ISERROR(MATCH(J4,Customer_Name,0)=TRUE)),TRUE,FALSE),FALSE)</f>
        <v>0</v>
      </c>
      <c r="C19" s="4"/>
      <c r="D19" s="21"/>
      <c r="E19" s="4"/>
      <c r="F19" s="4"/>
      <c r="G19" s="4"/>
      <c r="H19" s="22"/>
      <c r="I19" s="27"/>
      <c r="J19" s="28"/>
      <c r="K19" s="29"/>
      <c r="L19" s="56"/>
      <c r="M19" s="57"/>
      <c r="N19" s="56"/>
      <c r="O19" s="30"/>
      <c r="P19" s="29" t="str">
        <f t="shared" si="0"/>
        <v/>
      </c>
      <c r="Q19" s="4"/>
      <c r="R19" s="84" t="s">
        <v>830</v>
      </c>
      <c r="S19" s="4"/>
      <c r="T19" s="4"/>
      <c r="U19" s="4"/>
      <c r="V19" s="4"/>
      <c r="W19" s="4"/>
      <c r="X19" s="4"/>
      <c r="Y19" s="4"/>
      <c r="Z19" s="4"/>
    </row>
    <row r="20" spans="1:26" ht="18" customHeight="1" x14ac:dyDescent="0.25">
      <c r="A20" s="39" t="s">
        <v>89</v>
      </c>
      <c r="B20" s="38" t="b">
        <f ca="1">IFERROR(IF(AND(B1="PURCHASE",ISERROR(MATCH(J4,Vendor_Name,0)=TRUE)),TRUE,FALSE),FALSE)</f>
        <v>1</v>
      </c>
      <c r="C20" s="4"/>
      <c r="D20" s="21"/>
      <c r="E20" s="4"/>
      <c r="F20" s="4"/>
      <c r="G20" s="4"/>
      <c r="H20" s="22"/>
      <c r="I20" s="27"/>
      <c r="J20" s="28"/>
      <c r="K20" s="29"/>
      <c r="L20" s="56"/>
      <c r="M20" s="57"/>
      <c r="N20" s="56"/>
      <c r="O20" s="30"/>
      <c r="P20" s="29" t="str">
        <f t="shared" si="0"/>
        <v/>
      </c>
      <c r="Q20" s="4"/>
      <c r="R20" s="4" t="s">
        <v>824</v>
      </c>
      <c r="S20" s="4"/>
      <c r="T20" s="4"/>
      <c r="U20" s="4"/>
      <c r="V20" s="4"/>
      <c r="W20" s="4"/>
      <c r="X20" s="4"/>
      <c r="Y20" s="4"/>
      <c r="Z20" s="4"/>
    </row>
    <row r="21" spans="1:26" ht="18" customHeight="1" x14ac:dyDescent="0.25">
      <c r="A21" s="11"/>
      <c r="B21" s="40"/>
      <c r="C21" s="4"/>
      <c r="D21" s="21"/>
      <c r="E21" s="4"/>
      <c r="F21" s="4"/>
      <c r="G21" s="4"/>
      <c r="H21" s="22"/>
      <c r="I21" s="27"/>
      <c r="J21" s="28"/>
      <c r="K21" s="29"/>
      <c r="L21" s="56"/>
      <c r="M21" s="57"/>
      <c r="N21" s="56"/>
      <c r="O21" s="30"/>
      <c r="P21" s="29" t="str">
        <f t="shared" si="0"/>
        <v/>
      </c>
      <c r="Q21" s="4"/>
      <c r="R21" t="s">
        <v>840</v>
      </c>
      <c r="S21" s="4"/>
      <c r="T21" s="4"/>
      <c r="U21" s="4"/>
      <c r="V21" s="4"/>
      <c r="W21" s="4"/>
      <c r="X21" s="4"/>
      <c r="Y21" s="4"/>
      <c r="Z21" s="4"/>
    </row>
    <row r="22" spans="1:26" ht="18" customHeight="1" x14ac:dyDescent="0.25">
      <c r="A22" s="11"/>
      <c r="B22" s="11"/>
      <c r="C22" s="4"/>
      <c r="D22" s="21"/>
      <c r="E22" s="4"/>
      <c r="F22" s="4"/>
      <c r="G22" s="4"/>
      <c r="H22" s="22"/>
      <c r="I22" s="27"/>
      <c r="J22" s="28"/>
      <c r="K22" s="29"/>
      <c r="L22" s="56"/>
      <c r="M22" s="57"/>
      <c r="N22" s="56"/>
      <c r="O22" s="30"/>
      <c r="P22" s="29" t="str">
        <f t="shared" si="0"/>
        <v/>
      </c>
      <c r="Q22" s="4"/>
      <c r="R22" s="4" t="s">
        <v>825</v>
      </c>
      <c r="S22" s="4"/>
      <c r="T22" s="4"/>
      <c r="U22" s="4"/>
      <c r="V22" s="4"/>
      <c r="W22" s="4"/>
      <c r="X22" s="4"/>
      <c r="Y22" s="4"/>
      <c r="Z22" s="4"/>
    </row>
    <row r="23" spans="1:26" ht="18" customHeight="1" x14ac:dyDescent="0.25">
      <c r="A23" s="11"/>
      <c r="B23" s="11"/>
      <c r="C23" s="4"/>
      <c r="D23" s="21"/>
      <c r="E23" s="4"/>
      <c r="F23" s="4"/>
      <c r="G23" s="4"/>
      <c r="H23" s="22"/>
      <c r="I23" s="27"/>
      <c r="J23" s="28"/>
      <c r="K23" s="29"/>
      <c r="L23" s="56"/>
      <c r="M23" s="57"/>
      <c r="N23" s="56"/>
      <c r="O23" s="30"/>
      <c r="P23" s="29" t="str">
        <f t="shared" si="0"/>
        <v/>
      </c>
      <c r="Q23" s="4"/>
      <c r="R23" s="4" t="s">
        <v>826</v>
      </c>
      <c r="S23" s="4"/>
      <c r="T23" s="4"/>
      <c r="U23" s="4"/>
      <c r="V23" s="4"/>
      <c r="W23" s="4"/>
      <c r="X23" s="4"/>
      <c r="Y23" s="4"/>
      <c r="Z23" s="4"/>
    </row>
    <row r="24" spans="1:26" ht="18" customHeight="1" x14ac:dyDescent="0.25">
      <c r="A24" s="11"/>
      <c r="B24" s="11"/>
      <c r="C24" s="4"/>
      <c r="D24" s="21"/>
      <c r="E24" s="4"/>
      <c r="F24" s="4"/>
      <c r="G24" s="4"/>
      <c r="H24" s="22"/>
      <c r="I24" s="27"/>
      <c r="J24" s="28"/>
      <c r="K24" s="29"/>
      <c r="L24" s="56"/>
      <c r="M24" s="57"/>
      <c r="N24" s="56"/>
      <c r="O24" s="30"/>
      <c r="P24" s="29" t="str">
        <f t="shared" si="0"/>
        <v/>
      </c>
      <c r="Q24" s="4"/>
      <c r="R24" s="4" t="s">
        <v>827</v>
      </c>
      <c r="S24" s="4"/>
      <c r="T24" s="4"/>
      <c r="U24" s="4"/>
      <c r="V24" s="4"/>
      <c r="W24" s="4"/>
      <c r="X24" s="4"/>
      <c r="Y24" s="4"/>
      <c r="Z24" s="4"/>
    </row>
    <row r="25" spans="1:26" ht="17.45" customHeight="1" x14ac:dyDescent="0.25">
      <c r="A25" s="11"/>
      <c r="B25" s="11"/>
      <c r="C25" s="4"/>
      <c r="D25" s="21"/>
      <c r="E25" s="4"/>
      <c r="F25" s="4"/>
      <c r="G25" s="4"/>
      <c r="H25" s="22"/>
      <c r="I25" s="32"/>
      <c r="J25" s="33"/>
      <c r="K25" s="22"/>
      <c r="L25" s="58"/>
      <c r="M25" s="59"/>
      <c r="N25" s="58"/>
      <c r="O25" s="34"/>
      <c r="P25" s="22" t="str">
        <f t="shared" si="0"/>
        <v/>
      </c>
      <c r="Q25" s="4"/>
      <c r="R25" s="4" t="s">
        <v>828</v>
      </c>
      <c r="S25" s="4"/>
      <c r="T25" s="4"/>
      <c r="U25" s="4"/>
      <c r="V25" s="4"/>
      <c r="W25" s="4"/>
      <c r="X25" s="4"/>
      <c r="Y25" s="4"/>
      <c r="Z25" s="4"/>
    </row>
    <row r="26" spans="1:26" ht="17.45" customHeight="1" x14ac:dyDescent="0.25">
      <c r="A26" s="11"/>
      <c r="B26" s="11"/>
      <c r="C26" s="4"/>
      <c r="D26" s="21"/>
      <c r="E26" s="4"/>
      <c r="F26" s="4"/>
      <c r="G26" s="4"/>
      <c r="H26" s="22"/>
      <c r="I26" s="32"/>
      <c r="J26" s="33"/>
      <c r="K26" s="22"/>
      <c r="L26" s="58"/>
      <c r="M26" s="59"/>
      <c r="N26" s="58"/>
      <c r="O26" s="34"/>
      <c r="P26" s="22" t="str">
        <f t="shared" si="0"/>
        <v/>
      </c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7.45" customHeight="1" x14ac:dyDescent="0.25">
      <c r="A27" s="11"/>
      <c r="B27" s="11"/>
      <c r="C27" s="4"/>
      <c r="D27" s="21"/>
      <c r="E27" s="4"/>
      <c r="F27" s="4"/>
      <c r="G27" s="4"/>
      <c r="H27" s="22"/>
      <c r="I27" s="32"/>
      <c r="J27" s="33"/>
      <c r="K27" s="22"/>
      <c r="L27" s="58"/>
      <c r="M27" s="59"/>
      <c r="N27" s="58"/>
      <c r="O27" s="34"/>
      <c r="P27" s="22" t="str">
        <f t="shared" si="0"/>
        <v/>
      </c>
      <c r="Q27" s="4"/>
      <c r="R27" s="84" t="s">
        <v>831</v>
      </c>
      <c r="S27" s="4"/>
      <c r="T27" s="4"/>
      <c r="U27" s="4"/>
      <c r="V27" s="4"/>
      <c r="W27" s="4"/>
      <c r="X27" s="4"/>
      <c r="Y27" s="4"/>
      <c r="Z27" s="4"/>
    </row>
    <row r="28" spans="1:26" ht="17.45" customHeight="1" x14ac:dyDescent="0.25">
      <c r="A28" s="11"/>
      <c r="B28" s="11"/>
      <c r="C28" s="4"/>
      <c r="D28" s="21"/>
      <c r="E28" s="4"/>
      <c r="F28" s="4"/>
      <c r="G28" s="4"/>
      <c r="H28" s="22"/>
      <c r="I28" s="32"/>
      <c r="J28" s="33"/>
      <c r="K28" s="22"/>
      <c r="L28" s="58"/>
      <c r="M28" s="59"/>
      <c r="N28" s="58"/>
      <c r="O28" s="34"/>
      <c r="P28" s="22" t="str">
        <f t="shared" si="0"/>
        <v/>
      </c>
      <c r="Q28" s="4"/>
      <c r="R28" s="105" t="s">
        <v>829</v>
      </c>
      <c r="S28" s="105"/>
      <c r="T28" s="105"/>
      <c r="U28" s="105"/>
      <c r="V28" s="105"/>
      <c r="W28" s="105"/>
      <c r="X28" s="4"/>
      <c r="Y28" s="4"/>
      <c r="Z28" s="4"/>
    </row>
    <row r="29" spans="1:26" ht="17.45" customHeight="1" x14ac:dyDescent="0.25">
      <c r="A29" s="11"/>
      <c r="B29" s="11"/>
      <c r="C29" s="4"/>
      <c r="D29" s="21"/>
      <c r="E29" s="4"/>
      <c r="F29" s="4"/>
      <c r="G29" s="4"/>
      <c r="H29" s="22"/>
      <c r="I29" s="32"/>
      <c r="J29" s="33"/>
      <c r="K29" s="22"/>
      <c r="L29" s="58"/>
      <c r="M29" s="59"/>
      <c r="N29" s="58"/>
      <c r="O29" s="34"/>
      <c r="P29" s="33" t="str">
        <f t="shared" si="0"/>
        <v/>
      </c>
      <c r="Q29" s="4"/>
      <c r="R29" s="105"/>
      <c r="S29" s="105"/>
      <c r="T29" s="105"/>
      <c r="U29" s="105"/>
      <c r="V29" s="105"/>
      <c r="W29" s="105"/>
      <c r="X29" s="4"/>
      <c r="Y29" s="4"/>
      <c r="Z29" s="4"/>
    </row>
    <row r="30" spans="1:26" ht="17.45" customHeight="1" x14ac:dyDescent="0.25">
      <c r="A30" s="11"/>
      <c r="B30" s="11"/>
      <c r="C30" s="4"/>
      <c r="D30" s="21"/>
      <c r="E30" s="4"/>
      <c r="F30" s="4"/>
      <c r="G30" s="4"/>
      <c r="H30" s="22"/>
      <c r="I30" s="35"/>
      <c r="J30" s="4"/>
      <c r="K30" s="22"/>
      <c r="L30" s="60"/>
      <c r="M30" s="61"/>
      <c r="N30" s="60"/>
      <c r="O30" s="36"/>
      <c r="P30" s="4" t="str">
        <f t="shared" si="0"/>
        <v/>
      </c>
      <c r="Q30" s="4"/>
      <c r="R30" s="86" t="s">
        <v>838</v>
      </c>
      <c r="S30" s="85"/>
      <c r="T30" s="85"/>
      <c r="U30" s="85"/>
      <c r="V30" s="85"/>
      <c r="W30" s="85"/>
      <c r="X30" s="4"/>
      <c r="Y30" s="4"/>
      <c r="Z30" s="4"/>
    </row>
    <row r="31" spans="1:26" ht="17.45" customHeight="1" x14ac:dyDescent="0.25">
      <c r="A31" s="11"/>
      <c r="B31" s="11"/>
      <c r="C31" s="4"/>
      <c r="D31" s="21"/>
      <c r="E31" s="4"/>
      <c r="F31" s="4"/>
      <c r="G31" s="4"/>
      <c r="H31" s="22"/>
      <c r="I31" s="35"/>
      <c r="J31" s="4"/>
      <c r="K31" s="22"/>
      <c r="L31" s="60"/>
      <c r="M31" s="61"/>
      <c r="N31" s="60"/>
      <c r="O31" s="36"/>
      <c r="P31" s="4" t="str">
        <f t="shared" si="0"/>
        <v/>
      </c>
      <c r="Q31" s="4"/>
      <c r="R31" s="4" t="s">
        <v>839</v>
      </c>
      <c r="S31" s="4"/>
      <c r="T31" s="4"/>
      <c r="U31" s="4"/>
      <c r="V31" s="4"/>
      <c r="W31" s="4"/>
      <c r="X31" s="4"/>
      <c r="Y31" s="4"/>
      <c r="Z31" s="4"/>
    </row>
    <row r="32" spans="1:26" ht="17.45" customHeight="1" x14ac:dyDescent="0.25">
      <c r="A32" s="11"/>
      <c r="B32" s="11"/>
      <c r="C32" s="4"/>
      <c r="D32" s="21"/>
      <c r="E32" s="4"/>
      <c r="F32" s="4"/>
      <c r="G32" s="4"/>
      <c r="H32" s="22"/>
      <c r="I32" s="35"/>
      <c r="J32" s="4"/>
      <c r="K32" s="22"/>
      <c r="L32" s="60"/>
      <c r="M32" s="61"/>
      <c r="N32" s="60"/>
      <c r="O32" s="36"/>
      <c r="P32" s="4" t="str">
        <f t="shared" si="0"/>
        <v/>
      </c>
      <c r="Q32" s="4"/>
      <c r="R32" s="4" t="s">
        <v>835</v>
      </c>
      <c r="S32" s="4"/>
      <c r="T32" s="4"/>
      <c r="U32" s="4"/>
      <c r="V32" s="4"/>
      <c r="W32" s="4"/>
      <c r="X32" s="4"/>
      <c r="Y32" s="4"/>
      <c r="Z32" s="4"/>
    </row>
    <row r="33" spans="1:26" ht="17.45" customHeight="1" x14ac:dyDescent="0.25">
      <c r="A33" s="11"/>
      <c r="B33" s="11"/>
      <c r="C33" s="4"/>
      <c r="D33" s="21"/>
      <c r="E33" s="4"/>
      <c r="F33" s="4"/>
      <c r="G33" s="4"/>
      <c r="H33" s="22"/>
      <c r="I33" s="35"/>
      <c r="J33" s="4"/>
      <c r="K33" s="22"/>
      <c r="L33" s="60"/>
      <c r="M33" s="61"/>
      <c r="N33" s="60"/>
      <c r="O33" s="36"/>
      <c r="P33" s="4" t="str">
        <f t="shared" si="0"/>
        <v/>
      </c>
      <c r="Q33" s="4"/>
      <c r="X33" s="4"/>
      <c r="Y33" s="4"/>
      <c r="Z33" s="4"/>
    </row>
    <row r="34" spans="1:26" ht="17.45" customHeight="1" x14ac:dyDescent="0.25">
      <c r="A34" s="11"/>
      <c r="B34" s="11"/>
      <c r="C34" s="4"/>
      <c r="D34" s="21"/>
      <c r="E34" s="4"/>
      <c r="F34" s="4"/>
      <c r="G34" s="4"/>
      <c r="H34" s="22"/>
      <c r="I34" s="35"/>
      <c r="J34" s="4"/>
      <c r="K34" s="22"/>
      <c r="L34" s="61"/>
      <c r="M34" s="61"/>
      <c r="N34" s="60"/>
      <c r="O34" s="36"/>
      <c r="P34" s="4" t="str">
        <f t="shared" si="0"/>
        <v/>
      </c>
      <c r="Q34" s="4"/>
      <c r="R34" s="84" t="s">
        <v>834</v>
      </c>
      <c r="S34" s="4"/>
      <c r="T34" s="4"/>
      <c r="U34" s="4"/>
      <c r="V34" s="4"/>
      <c r="W34" s="4"/>
      <c r="X34" s="4"/>
      <c r="Y34" s="4"/>
      <c r="Z34" s="4"/>
    </row>
    <row r="35" spans="1:26" ht="17.45" customHeight="1" x14ac:dyDescent="0.25">
      <c r="A35" s="11"/>
      <c r="B35" s="11"/>
      <c r="C35" s="4"/>
      <c r="D35" s="21"/>
      <c r="E35" s="4"/>
      <c r="F35" s="4"/>
      <c r="G35" s="4"/>
      <c r="H35" s="22"/>
      <c r="I35" s="35"/>
      <c r="J35" s="4"/>
      <c r="K35" s="22"/>
      <c r="L35" s="61"/>
      <c r="M35" s="61"/>
      <c r="N35" s="60"/>
      <c r="O35" s="36"/>
      <c r="P35" s="4" t="str">
        <f t="shared" si="0"/>
        <v/>
      </c>
      <c r="Q35" s="4"/>
      <c r="R35" s="105" t="s">
        <v>829</v>
      </c>
      <c r="S35" s="105"/>
      <c r="T35" s="105"/>
      <c r="U35" s="105"/>
      <c r="V35" s="105"/>
      <c r="W35" s="105"/>
      <c r="X35" s="4"/>
      <c r="Y35" s="4"/>
      <c r="Z35" s="4"/>
    </row>
    <row r="36" spans="1:26" ht="17.45" customHeight="1" x14ac:dyDescent="0.25">
      <c r="A36" s="11"/>
      <c r="B36" s="11"/>
      <c r="C36" s="4"/>
      <c r="D36" s="21"/>
      <c r="E36" s="4"/>
      <c r="F36" s="4"/>
      <c r="G36" s="4"/>
      <c r="H36" s="22"/>
      <c r="I36" s="35"/>
      <c r="J36" s="4"/>
      <c r="K36" s="22"/>
      <c r="L36" s="61"/>
      <c r="M36" s="61"/>
      <c r="N36" s="60"/>
      <c r="O36" s="36"/>
      <c r="P36" s="4" t="str">
        <f t="shared" si="0"/>
        <v/>
      </c>
      <c r="Q36" s="4"/>
      <c r="R36" s="105"/>
      <c r="S36" s="105"/>
      <c r="T36" s="105"/>
      <c r="U36" s="105"/>
      <c r="V36" s="105"/>
      <c r="W36" s="105"/>
      <c r="X36" s="4"/>
      <c r="Y36" s="4"/>
      <c r="Z36" s="4"/>
    </row>
    <row r="37" spans="1:26" ht="17.45" customHeight="1" x14ac:dyDescent="0.25">
      <c r="A37" s="11"/>
      <c r="B37" s="11"/>
      <c r="C37" s="4"/>
      <c r="D37" s="21"/>
      <c r="E37" s="4"/>
      <c r="F37" s="4"/>
      <c r="G37" s="4"/>
      <c r="H37" s="22"/>
      <c r="I37" s="35"/>
      <c r="J37" s="4"/>
      <c r="K37" s="22"/>
      <c r="L37" s="61"/>
      <c r="M37" s="61"/>
      <c r="N37" s="60"/>
      <c r="O37" s="36"/>
      <c r="P37" s="4" t="str">
        <f t="shared" si="0"/>
        <v/>
      </c>
      <c r="Q37" s="4"/>
      <c r="R37" s="86" t="s">
        <v>837</v>
      </c>
      <c r="S37" s="85"/>
      <c r="T37" s="85"/>
      <c r="U37" s="85"/>
      <c r="V37" s="85"/>
      <c r="W37" s="85"/>
      <c r="X37" s="4"/>
      <c r="Y37" s="4"/>
      <c r="Z37" s="4"/>
    </row>
    <row r="38" spans="1:26" ht="17.45" customHeight="1" x14ac:dyDescent="0.25">
      <c r="A38" s="11"/>
      <c r="B38" s="11"/>
      <c r="C38" s="4"/>
      <c r="D38" s="21"/>
      <c r="E38" s="4"/>
      <c r="F38" s="4"/>
      <c r="G38" s="4"/>
      <c r="H38" s="22"/>
      <c r="I38" s="35"/>
      <c r="J38" s="4"/>
      <c r="K38" s="4"/>
      <c r="L38" s="61"/>
      <c r="M38" s="61"/>
      <c r="N38" s="60"/>
      <c r="O38" s="36"/>
      <c r="P38" s="4" t="str">
        <f t="shared" si="0"/>
        <v/>
      </c>
      <c r="Q38" s="4"/>
      <c r="R38" s="4" t="s">
        <v>836</v>
      </c>
      <c r="S38" s="4"/>
      <c r="T38" s="4"/>
      <c r="U38" s="4"/>
      <c r="V38" s="4"/>
      <c r="W38" s="4"/>
      <c r="X38" s="4"/>
      <c r="Y38" s="4"/>
      <c r="Z38" s="4"/>
    </row>
    <row r="39" spans="1:26" ht="17.45" customHeight="1" x14ac:dyDescent="0.25">
      <c r="C39" s="4"/>
      <c r="D39" s="21"/>
      <c r="E39" s="4"/>
      <c r="F39" s="4"/>
      <c r="G39" s="4"/>
      <c r="H39" s="22"/>
      <c r="I39" s="35"/>
      <c r="J39" s="4"/>
      <c r="K39" s="4"/>
      <c r="L39" s="61"/>
      <c r="M39" s="61"/>
      <c r="N39" s="60"/>
      <c r="O39" s="36"/>
      <c r="P39" s="4" t="str">
        <f t="shared" si="0"/>
        <v/>
      </c>
      <c r="Q39" s="4"/>
      <c r="S39" s="4"/>
      <c r="T39" s="4"/>
      <c r="U39" s="4"/>
      <c r="V39" s="4"/>
      <c r="W39" s="4"/>
      <c r="X39" s="4"/>
      <c r="Y39" s="4"/>
      <c r="Z39" s="4"/>
    </row>
    <row r="40" spans="1:26" ht="17.45" customHeight="1" x14ac:dyDescent="0.25">
      <c r="C40" s="4"/>
      <c r="D40" s="21"/>
      <c r="E40" s="4"/>
      <c r="F40" s="4"/>
      <c r="G40" s="4"/>
      <c r="H40" s="4"/>
      <c r="I40" s="35"/>
      <c r="J40" s="4"/>
      <c r="K40" s="4"/>
      <c r="L40" s="61"/>
      <c r="M40" s="61"/>
      <c r="N40" s="60"/>
      <c r="O40" s="36"/>
      <c r="P40" s="4" t="str">
        <f t="shared" si="0"/>
        <v/>
      </c>
      <c r="Q40" s="4"/>
      <c r="X40" s="4"/>
      <c r="Y40" s="4"/>
      <c r="Z40" s="4"/>
    </row>
    <row r="41" spans="1:26" ht="17.45" customHeight="1" x14ac:dyDescent="0.25">
      <c r="C41" s="4"/>
      <c r="D41" s="21"/>
      <c r="E41" s="4"/>
      <c r="F41" s="4"/>
      <c r="G41" s="4"/>
      <c r="H41" s="4"/>
      <c r="I41" s="35"/>
      <c r="J41" s="4"/>
      <c r="K41" s="4"/>
      <c r="L41" s="61"/>
      <c r="M41" s="61"/>
      <c r="N41" s="60"/>
      <c r="O41" s="36"/>
      <c r="P41" s="4" t="str">
        <f t="shared" si="0"/>
        <v/>
      </c>
      <c r="Q41" s="4"/>
      <c r="X41" s="4"/>
      <c r="Y41" s="4"/>
      <c r="Z41" s="4"/>
    </row>
    <row r="42" spans="1:26" ht="17.45" customHeight="1" x14ac:dyDescent="0.25">
      <c r="C42" s="4"/>
      <c r="D42" s="21"/>
      <c r="E42" s="4"/>
      <c r="F42" s="4"/>
      <c r="G42" s="4"/>
      <c r="H42" s="4"/>
      <c r="I42" s="35"/>
      <c r="J42" s="4"/>
      <c r="K42" s="4"/>
      <c r="L42" s="61"/>
      <c r="M42" s="61"/>
      <c r="N42" s="60"/>
      <c r="O42" s="36"/>
      <c r="P42" s="4" t="str">
        <f t="shared" si="0"/>
        <v/>
      </c>
      <c r="Q42" s="4"/>
      <c r="X42" s="4"/>
      <c r="Y42" s="4"/>
      <c r="Z42" s="4"/>
    </row>
    <row r="43" spans="1:26" ht="17.45" customHeight="1" x14ac:dyDescent="0.25">
      <c r="C43" s="4"/>
      <c r="D43" s="21"/>
      <c r="E43" s="4"/>
      <c r="F43" s="4"/>
      <c r="G43" s="4"/>
      <c r="H43" s="4"/>
      <c r="I43" s="35"/>
      <c r="J43" s="4"/>
      <c r="K43" s="4"/>
      <c r="L43" s="61"/>
      <c r="M43" s="61"/>
      <c r="N43" s="60"/>
      <c r="O43" s="36"/>
      <c r="P43" s="4" t="str">
        <f t="shared" si="0"/>
        <v/>
      </c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7.45" customHeight="1" x14ac:dyDescent="0.25">
      <c r="C44" s="4"/>
      <c r="D44" s="21"/>
      <c r="E44" s="4"/>
      <c r="F44" s="4"/>
      <c r="G44" s="4"/>
      <c r="H44" s="4"/>
      <c r="I44" s="35"/>
      <c r="J44" s="4"/>
      <c r="K44" s="4"/>
      <c r="L44" s="61"/>
      <c r="M44" s="61"/>
      <c r="N44" s="60"/>
      <c r="O44" s="36"/>
      <c r="P44" s="4" t="str">
        <f t="shared" si="0"/>
        <v/>
      </c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7.45" customHeight="1" x14ac:dyDescent="0.25">
      <c r="C45" s="4"/>
      <c r="D45" s="21"/>
      <c r="E45" s="4"/>
      <c r="F45" s="4"/>
      <c r="G45" s="4"/>
      <c r="H45" s="4"/>
      <c r="I45" s="35"/>
      <c r="J45" s="4"/>
      <c r="K45" s="4"/>
      <c r="L45" s="61"/>
      <c r="M45" s="61"/>
      <c r="N45" s="60"/>
      <c r="O45" s="36"/>
      <c r="P45" s="4" t="str">
        <f t="shared" si="0"/>
        <v/>
      </c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7.45" customHeight="1" x14ac:dyDescent="0.25">
      <c r="C46" s="4"/>
      <c r="D46" s="21"/>
      <c r="E46" s="4"/>
      <c r="F46" s="4"/>
      <c r="G46" s="4"/>
      <c r="H46" s="4"/>
      <c r="I46" s="35"/>
      <c r="J46" s="4"/>
      <c r="K46" s="4"/>
      <c r="L46" s="61"/>
      <c r="M46" s="61"/>
      <c r="N46" s="60"/>
      <c r="O46" s="36"/>
      <c r="P46" s="4" t="str">
        <f t="shared" si="0"/>
        <v/>
      </c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7.45" customHeight="1" x14ac:dyDescent="0.25">
      <c r="C47" s="4"/>
      <c r="D47" s="21"/>
      <c r="E47" s="4"/>
      <c r="F47" s="4"/>
      <c r="G47" s="4"/>
      <c r="H47" s="4"/>
      <c r="I47" s="35"/>
      <c r="J47" s="4"/>
      <c r="K47" s="4"/>
      <c r="L47" s="61"/>
      <c r="M47" s="61"/>
      <c r="N47" s="60"/>
      <c r="O47" s="36"/>
      <c r="P47" s="4" t="str">
        <f t="shared" si="0"/>
        <v/>
      </c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7.45" customHeight="1" x14ac:dyDescent="0.25">
      <c r="C48" s="4"/>
      <c r="D48" s="21"/>
      <c r="E48" s="4"/>
      <c r="F48" s="4"/>
      <c r="G48" s="4"/>
      <c r="H48" s="4"/>
      <c r="I48" s="35"/>
      <c r="J48" s="4"/>
      <c r="K48" s="4"/>
      <c r="L48" s="61"/>
      <c r="M48" s="61"/>
      <c r="N48" s="60"/>
      <c r="O48" s="36"/>
      <c r="P48" s="4" t="str">
        <f t="shared" si="0"/>
        <v/>
      </c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3:26" ht="17.45" customHeight="1" x14ac:dyDescent="0.25">
      <c r="C49" s="4"/>
      <c r="D49" s="21"/>
      <c r="E49" s="4"/>
      <c r="F49" s="4"/>
      <c r="G49" s="4"/>
      <c r="H49" s="4"/>
      <c r="I49" s="35"/>
      <c r="J49" s="4"/>
      <c r="K49" s="4"/>
      <c r="L49" s="61"/>
      <c r="M49" s="61"/>
      <c r="N49" s="60"/>
      <c r="O49" s="36"/>
      <c r="P49" s="4" t="str">
        <f t="shared" si="0"/>
        <v/>
      </c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3:26" ht="17.45" customHeight="1" x14ac:dyDescent="0.25">
      <c r="C50" s="4"/>
      <c r="D50" s="21"/>
      <c r="E50" s="4"/>
      <c r="F50" s="4"/>
      <c r="G50" s="4"/>
      <c r="H50" s="4"/>
      <c r="I50" s="35"/>
      <c r="J50" s="4"/>
      <c r="K50" s="4"/>
      <c r="L50" s="61"/>
      <c r="M50" s="61"/>
      <c r="N50" s="60"/>
      <c r="O50" s="36"/>
      <c r="P50" s="4" t="str">
        <f t="shared" si="0"/>
        <v/>
      </c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3:26" ht="17.45" customHeight="1" x14ac:dyDescent="0.25">
      <c r="C51" s="4"/>
      <c r="D51" s="21"/>
      <c r="E51" s="4"/>
      <c r="F51" s="4"/>
      <c r="G51" s="4"/>
      <c r="H51" s="4"/>
      <c r="I51" s="35"/>
      <c r="J51" s="4"/>
      <c r="K51" s="4"/>
      <c r="L51" s="61"/>
      <c r="M51" s="61"/>
      <c r="N51" s="60"/>
      <c r="O51" s="36"/>
      <c r="P51" s="4" t="str">
        <f t="shared" si="0"/>
        <v/>
      </c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3:26" ht="17.45" customHeight="1" x14ac:dyDescent="0.25">
      <c r="C52" s="4"/>
      <c r="D52" s="21"/>
      <c r="E52" s="4"/>
      <c r="F52" s="4"/>
      <c r="G52" s="4"/>
      <c r="H52" s="4"/>
      <c r="I52" s="35"/>
      <c r="J52" s="4"/>
      <c r="K52" s="4"/>
      <c r="L52" s="61"/>
      <c r="M52" s="61"/>
      <c r="N52" s="60"/>
      <c r="O52" s="36"/>
      <c r="P52" s="4" t="str">
        <f t="shared" si="0"/>
        <v/>
      </c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3:26" ht="17.45" customHeight="1" x14ac:dyDescent="0.25">
      <c r="C53" s="4"/>
      <c r="D53" s="21"/>
      <c r="E53" s="4"/>
      <c r="F53" s="4"/>
      <c r="G53" s="4"/>
      <c r="H53" s="4"/>
      <c r="I53" s="35"/>
      <c r="J53" s="4"/>
      <c r="K53" s="4"/>
      <c r="L53" s="61"/>
      <c r="M53" s="61"/>
      <c r="N53" s="60"/>
      <c r="O53" s="36"/>
      <c r="P53" s="4" t="str">
        <f t="shared" si="0"/>
        <v/>
      </c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3:26" ht="17.45" customHeight="1" x14ac:dyDescent="0.25">
      <c r="C54" s="4"/>
      <c r="D54" s="21"/>
      <c r="E54" s="4"/>
      <c r="F54" s="4"/>
      <c r="G54" s="4"/>
      <c r="H54" s="4"/>
      <c r="I54" s="35"/>
      <c r="J54" s="4"/>
      <c r="K54" s="4"/>
      <c r="L54" s="61"/>
      <c r="M54" s="61"/>
      <c r="N54" s="60"/>
      <c r="O54" s="36"/>
      <c r="P54" s="4" t="str">
        <f t="shared" si="0"/>
        <v/>
      </c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3:26" ht="17.45" customHeight="1" x14ac:dyDescent="0.25">
      <c r="C55" s="4"/>
      <c r="D55" s="21"/>
      <c r="E55" s="4"/>
      <c r="F55" s="4"/>
      <c r="G55" s="4"/>
      <c r="H55" s="4"/>
      <c r="I55" s="35"/>
      <c r="J55" s="4"/>
      <c r="K55" s="4"/>
      <c r="L55" s="61"/>
      <c r="M55" s="61"/>
      <c r="N55" s="60"/>
      <c r="O55" s="36"/>
      <c r="P55" s="4" t="str">
        <f t="shared" si="0"/>
        <v/>
      </c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3:26" ht="17.45" customHeight="1" x14ac:dyDescent="0.25">
      <c r="C56" s="4"/>
      <c r="D56" s="21"/>
      <c r="E56" s="4"/>
      <c r="F56" s="4"/>
      <c r="G56" s="4"/>
      <c r="H56" s="4"/>
      <c r="I56" s="35"/>
      <c r="J56" s="4"/>
      <c r="K56" s="4"/>
      <c r="L56" s="61"/>
      <c r="M56" s="61"/>
      <c r="N56" s="60"/>
      <c r="O56" s="36"/>
      <c r="P56" s="4" t="str">
        <f t="shared" si="0"/>
        <v/>
      </c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3:26" ht="17.45" customHeight="1" x14ac:dyDescent="0.25">
      <c r="C57" s="4"/>
      <c r="D57" s="21"/>
      <c r="E57" s="4"/>
      <c r="F57" s="4"/>
      <c r="G57" s="4"/>
      <c r="H57" s="4"/>
      <c r="I57" s="35"/>
      <c r="J57" s="4"/>
      <c r="K57" s="4"/>
      <c r="L57" s="61"/>
      <c r="M57" s="61"/>
      <c r="N57" s="60"/>
      <c r="O57" s="36"/>
      <c r="P57" s="4" t="str">
        <f t="shared" si="0"/>
        <v/>
      </c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3:26" ht="17.45" customHeight="1" x14ac:dyDescent="0.25">
      <c r="C58" s="4"/>
      <c r="D58" s="21"/>
      <c r="E58" s="4"/>
      <c r="F58" s="4"/>
      <c r="G58" s="4"/>
      <c r="H58" s="4"/>
      <c r="I58" s="35"/>
      <c r="J58" s="4"/>
      <c r="K58" s="4"/>
      <c r="L58" s="61"/>
      <c r="M58" s="61"/>
      <c r="N58" s="60"/>
      <c r="O58" s="36"/>
      <c r="P58" s="4" t="str">
        <f t="shared" si="0"/>
        <v/>
      </c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3:26" ht="17.45" customHeight="1" x14ac:dyDescent="0.25">
      <c r="C59" s="4"/>
      <c r="D59" s="21"/>
      <c r="E59" s="4"/>
      <c r="F59" s="4"/>
      <c r="G59" s="4"/>
      <c r="H59" s="4"/>
      <c r="I59" s="35"/>
      <c r="J59" s="4"/>
      <c r="K59" s="4"/>
      <c r="L59" s="61"/>
      <c r="M59" s="61"/>
      <c r="N59" s="60"/>
      <c r="O59" s="36"/>
      <c r="P59" s="4" t="str">
        <f t="shared" si="0"/>
        <v/>
      </c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3:26" x14ac:dyDescent="0.25">
      <c r="C60" s="4"/>
      <c r="D60" s="21"/>
      <c r="E60" s="4"/>
      <c r="F60" s="4"/>
      <c r="G60" s="4"/>
      <c r="H60" s="4"/>
      <c r="I60" s="35"/>
      <c r="J60" s="4"/>
      <c r="K60" s="4"/>
      <c r="L60" s="61"/>
      <c r="M60" s="61"/>
      <c r="N60" s="60"/>
      <c r="O60" s="36"/>
      <c r="P60" s="4" t="str">
        <f t="shared" si="0"/>
        <v/>
      </c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3:26" x14ac:dyDescent="0.25">
      <c r="C61" s="4"/>
      <c r="D61" s="21"/>
      <c r="E61" s="4"/>
      <c r="F61" s="4"/>
      <c r="G61" s="4"/>
      <c r="H61" s="4"/>
      <c r="I61" s="35"/>
      <c r="J61" s="4"/>
      <c r="K61" s="4"/>
      <c r="L61" s="61"/>
      <c r="M61" s="61"/>
      <c r="N61" s="60"/>
      <c r="O61" s="36"/>
      <c r="P61" s="4" t="str">
        <f t="shared" si="0"/>
        <v/>
      </c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3:26" x14ac:dyDescent="0.25">
      <c r="C62" s="4"/>
      <c r="D62" s="21"/>
      <c r="E62" s="4"/>
      <c r="F62" s="4"/>
      <c r="G62" s="4"/>
      <c r="H62" s="4"/>
      <c r="I62" s="35"/>
      <c r="J62" s="4"/>
      <c r="K62" s="4"/>
      <c r="L62" s="61"/>
      <c r="M62" s="61"/>
      <c r="N62" s="60"/>
      <c r="O62" s="36"/>
      <c r="P62" s="4" t="str">
        <f t="shared" si="0"/>
        <v/>
      </c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3:26" x14ac:dyDescent="0.25">
      <c r="C63" s="4"/>
      <c r="D63" s="21"/>
      <c r="E63" s="4"/>
      <c r="F63" s="4"/>
      <c r="G63" s="4"/>
      <c r="H63" s="4"/>
      <c r="I63" s="35"/>
      <c r="J63" s="4"/>
      <c r="K63" s="4"/>
      <c r="L63" s="61"/>
      <c r="M63" s="61"/>
      <c r="N63" s="60"/>
      <c r="O63" s="36"/>
      <c r="P63" s="4" t="str">
        <f t="shared" si="0"/>
        <v/>
      </c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3:26" x14ac:dyDescent="0.25">
      <c r="C64" s="4"/>
      <c r="D64" s="21"/>
      <c r="E64" s="4"/>
      <c r="F64" s="4"/>
      <c r="G64" s="4"/>
      <c r="H64" s="4"/>
      <c r="I64" s="35"/>
      <c r="J64" s="4"/>
      <c r="K64" s="4"/>
      <c r="L64" s="61"/>
      <c r="M64" s="61"/>
      <c r="N64" s="60"/>
      <c r="O64" s="36"/>
      <c r="P64" s="4" t="str">
        <f t="shared" si="0"/>
        <v/>
      </c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3:26" x14ac:dyDescent="0.25">
      <c r="C65" s="4"/>
      <c r="D65" s="21"/>
      <c r="E65" s="4"/>
      <c r="F65" s="4"/>
      <c r="G65" s="4"/>
      <c r="H65" s="4"/>
      <c r="I65" s="35"/>
      <c r="J65" s="4"/>
      <c r="K65" s="4"/>
      <c r="L65" s="61"/>
      <c r="M65" s="61"/>
      <c r="N65" s="60"/>
      <c r="O65" s="36"/>
      <c r="P65" s="4" t="str">
        <f t="shared" si="0"/>
        <v/>
      </c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3:26" x14ac:dyDescent="0.25">
      <c r="C66" s="4"/>
      <c r="D66" s="21"/>
      <c r="E66" s="4"/>
      <c r="F66" s="4"/>
      <c r="G66" s="4"/>
      <c r="H66" s="4"/>
      <c r="I66" s="35"/>
      <c r="J66" s="4"/>
      <c r="K66" s="4"/>
      <c r="L66" s="61"/>
      <c r="M66" s="61"/>
      <c r="N66" s="60"/>
      <c r="O66" s="36"/>
      <c r="P66" s="4" t="str">
        <f t="shared" si="0"/>
        <v/>
      </c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3:26" x14ac:dyDescent="0.25">
      <c r="C67" s="4"/>
      <c r="D67" s="21"/>
      <c r="E67" s="4"/>
      <c r="F67" s="4"/>
      <c r="G67" s="4"/>
      <c r="H67" s="4"/>
      <c r="I67" s="35"/>
      <c r="J67" s="4"/>
      <c r="K67" s="4"/>
      <c r="L67" s="61"/>
      <c r="M67" s="61"/>
      <c r="N67" s="60"/>
      <c r="O67" s="36"/>
      <c r="P67" s="4" t="str">
        <f t="shared" si="0"/>
        <v/>
      </c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3:26" x14ac:dyDescent="0.25">
      <c r="C68" s="4"/>
      <c r="D68" s="21"/>
      <c r="E68" s="4"/>
      <c r="F68" s="4"/>
      <c r="G68" s="4"/>
      <c r="H68" s="4"/>
      <c r="I68" s="35"/>
      <c r="J68" s="4"/>
      <c r="K68" s="4"/>
      <c r="L68" s="61"/>
      <c r="M68" s="61"/>
      <c r="N68" s="60"/>
      <c r="O68" s="36"/>
      <c r="P68" s="4" t="str">
        <f t="shared" si="0"/>
        <v/>
      </c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3:26" x14ac:dyDescent="0.25">
      <c r="C69" s="4"/>
      <c r="D69" s="21"/>
      <c r="E69" s="4"/>
      <c r="F69" s="4"/>
      <c r="G69" s="4"/>
      <c r="H69" s="4"/>
      <c r="I69" s="35"/>
      <c r="J69" s="4"/>
      <c r="K69" s="4"/>
      <c r="L69" s="61"/>
      <c r="M69" s="61"/>
      <c r="N69" s="60"/>
      <c r="O69" s="36"/>
      <c r="P69" s="4" t="str">
        <f t="shared" si="0"/>
        <v/>
      </c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3:26" x14ac:dyDescent="0.25">
      <c r="C70" s="4"/>
      <c r="D70" s="21"/>
      <c r="E70" s="4"/>
      <c r="F70" s="4"/>
      <c r="G70" s="4"/>
      <c r="H70" s="4"/>
      <c r="I70" s="35"/>
      <c r="J70" s="4"/>
      <c r="K70" s="4"/>
      <c r="L70" s="61"/>
      <c r="M70" s="61"/>
      <c r="N70" s="60"/>
      <c r="O70" s="36"/>
      <c r="P70" s="4" t="str">
        <f t="shared" si="0"/>
        <v/>
      </c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3:26" x14ac:dyDescent="0.25">
      <c r="C71" s="4"/>
      <c r="D71" s="21"/>
      <c r="E71" s="4"/>
      <c r="F71" s="4"/>
      <c r="G71" s="4"/>
      <c r="H71" s="4"/>
      <c r="I71" s="35"/>
      <c r="J71" s="4"/>
      <c r="K71" s="4"/>
      <c r="L71" s="61"/>
      <c r="M71" s="61"/>
      <c r="N71" s="60"/>
      <c r="O71" s="36"/>
      <c r="P71" s="4" t="str">
        <f t="shared" ref="P71:P134" si="1">IF(I71="","",SUMIFS(OrderItems_Qty,OrderItems_Type,"PURCHASE",OrderItems_SKU,I71)-SUMIFS(OrderItems_Qty,OrderItems_Type,"SALE",OrderItems_SKU,I71))</f>
        <v/>
      </c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3:26" x14ac:dyDescent="0.25">
      <c r="C72" s="4"/>
      <c r="D72" s="21"/>
      <c r="E72" s="4"/>
      <c r="F72" s="4"/>
      <c r="G72" s="4"/>
      <c r="H72" s="4"/>
      <c r="I72" s="35"/>
      <c r="J72" s="4"/>
      <c r="K72" s="4"/>
      <c r="L72" s="61"/>
      <c r="M72" s="61"/>
      <c r="N72" s="60"/>
      <c r="O72" s="36"/>
      <c r="P72" s="4" t="str">
        <f t="shared" si="1"/>
        <v/>
      </c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3:26" x14ac:dyDescent="0.25">
      <c r="C73" s="4"/>
      <c r="D73" s="21"/>
      <c r="E73" s="4"/>
      <c r="F73" s="4"/>
      <c r="G73" s="4"/>
      <c r="H73" s="4"/>
      <c r="I73" s="35"/>
      <c r="J73" s="4"/>
      <c r="K73" s="4"/>
      <c r="L73" s="61"/>
      <c r="M73" s="61"/>
      <c r="N73" s="60"/>
      <c r="O73" s="36"/>
      <c r="P73" s="4" t="str">
        <f t="shared" si="1"/>
        <v/>
      </c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3:26" x14ac:dyDescent="0.25">
      <c r="C74" s="4"/>
      <c r="D74" s="21"/>
      <c r="E74" s="4"/>
      <c r="F74" s="4"/>
      <c r="G74" s="4"/>
      <c r="H74" s="4"/>
      <c r="I74" s="35"/>
      <c r="J74" s="4"/>
      <c r="K74" s="4"/>
      <c r="L74" s="61"/>
      <c r="M74" s="61"/>
      <c r="N74" s="60"/>
      <c r="O74" s="36"/>
      <c r="P74" s="4" t="str">
        <f t="shared" si="1"/>
        <v/>
      </c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3:26" x14ac:dyDescent="0.25">
      <c r="C75" s="4"/>
      <c r="D75" s="21"/>
      <c r="E75" s="4"/>
      <c r="F75" s="4"/>
      <c r="G75" s="4"/>
      <c r="H75" s="4"/>
      <c r="I75" s="35"/>
      <c r="J75" s="4"/>
      <c r="K75" s="4"/>
      <c r="L75" s="61"/>
      <c r="M75" s="61"/>
      <c r="N75" s="60"/>
      <c r="O75" s="36"/>
      <c r="P75" s="4" t="str">
        <f t="shared" si="1"/>
        <v/>
      </c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3:26" x14ac:dyDescent="0.25">
      <c r="C76" s="4"/>
      <c r="D76" s="21"/>
      <c r="E76" s="4"/>
      <c r="F76" s="4"/>
      <c r="G76" s="4"/>
      <c r="H76" s="4"/>
      <c r="I76" s="35"/>
      <c r="J76" s="4"/>
      <c r="K76" s="4"/>
      <c r="L76" s="61"/>
      <c r="M76" s="61"/>
      <c r="N76" s="60"/>
      <c r="O76" s="36"/>
      <c r="P76" s="4" t="str">
        <f t="shared" si="1"/>
        <v/>
      </c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3:26" x14ac:dyDescent="0.25">
      <c r="C77" s="4"/>
      <c r="D77" s="21"/>
      <c r="E77" s="4"/>
      <c r="F77" s="4"/>
      <c r="G77" s="4"/>
      <c r="H77" s="4"/>
      <c r="I77" s="35"/>
      <c r="J77" s="4"/>
      <c r="K77" s="4"/>
      <c r="L77" s="61"/>
      <c r="M77" s="61"/>
      <c r="N77" s="60"/>
      <c r="O77" s="36"/>
      <c r="P77" s="4" t="str">
        <f t="shared" si="1"/>
        <v/>
      </c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3:26" x14ac:dyDescent="0.25">
      <c r="C78" s="4"/>
      <c r="D78" s="21"/>
      <c r="E78" s="4"/>
      <c r="F78" s="4"/>
      <c r="G78" s="4"/>
      <c r="H78" s="4"/>
      <c r="I78" s="35"/>
      <c r="J78" s="4"/>
      <c r="K78" s="4"/>
      <c r="L78" s="61"/>
      <c r="M78" s="61"/>
      <c r="N78" s="60"/>
      <c r="O78" s="36"/>
      <c r="P78" s="4" t="str">
        <f t="shared" si="1"/>
        <v/>
      </c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3:26" x14ac:dyDescent="0.25">
      <c r="C79" s="4"/>
      <c r="D79" s="21"/>
      <c r="E79" s="4"/>
      <c r="F79" s="4"/>
      <c r="G79" s="4"/>
      <c r="H79" s="4"/>
      <c r="I79" s="35"/>
      <c r="J79" s="4"/>
      <c r="K79" s="4"/>
      <c r="L79" s="61"/>
      <c r="M79" s="61"/>
      <c r="N79" s="60"/>
      <c r="O79" s="36"/>
      <c r="P79" s="4" t="str">
        <f t="shared" si="1"/>
        <v/>
      </c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3:26" x14ac:dyDescent="0.25">
      <c r="C80" s="4"/>
      <c r="D80" s="21"/>
      <c r="E80" s="4"/>
      <c r="F80" s="4"/>
      <c r="G80" s="4"/>
      <c r="H80" s="4"/>
      <c r="I80" s="35"/>
      <c r="J80" s="4"/>
      <c r="K80" s="4"/>
      <c r="L80" s="61"/>
      <c r="M80" s="61"/>
      <c r="N80" s="60"/>
      <c r="O80" s="36"/>
      <c r="P80" s="4" t="str">
        <f t="shared" si="1"/>
        <v/>
      </c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3:26" x14ac:dyDescent="0.25">
      <c r="C81" s="4"/>
      <c r="D81" s="21"/>
      <c r="E81" s="4"/>
      <c r="F81" s="4"/>
      <c r="G81" s="4"/>
      <c r="H81" s="4"/>
      <c r="I81" s="35"/>
      <c r="J81" s="4"/>
      <c r="K81" s="4"/>
      <c r="L81" s="61"/>
      <c r="M81" s="61"/>
      <c r="N81" s="60"/>
      <c r="O81" s="36"/>
      <c r="P81" s="4" t="str">
        <f t="shared" si="1"/>
        <v/>
      </c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3:26" x14ac:dyDescent="0.25">
      <c r="C82" s="4"/>
      <c r="D82" s="21"/>
      <c r="E82" s="4"/>
      <c r="F82" s="4"/>
      <c r="G82" s="4"/>
      <c r="H82" s="4"/>
      <c r="I82" s="35"/>
      <c r="J82" s="4"/>
      <c r="K82" s="4"/>
      <c r="L82" s="61"/>
      <c r="M82" s="61"/>
      <c r="N82" s="60"/>
      <c r="O82" s="36"/>
      <c r="P82" s="4" t="str">
        <f t="shared" si="1"/>
        <v/>
      </c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3:26" x14ac:dyDescent="0.25">
      <c r="C83" s="4"/>
      <c r="D83" s="21"/>
      <c r="E83" s="4"/>
      <c r="F83" s="4"/>
      <c r="G83" s="4"/>
      <c r="H83" s="4"/>
      <c r="I83" s="35"/>
      <c r="J83" s="4"/>
      <c r="K83" s="4"/>
      <c r="L83" s="61"/>
      <c r="M83" s="61"/>
      <c r="N83" s="60"/>
      <c r="O83" s="36"/>
      <c r="P83" s="4" t="str">
        <f t="shared" si="1"/>
        <v/>
      </c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3:26" x14ac:dyDescent="0.25">
      <c r="C84" s="4"/>
      <c r="D84" s="21"/>
      <c r="E84" s="4"/>
      <c r="F84" s="4"/>
      <c r="G84" s="4"/>
      <c r="H84" s="4"/>
      <c r="I84" s="35"/>
      <c r="J84" s="4"/>
      <c r="K84" s="4"/>
      <c r="L84" s="61"/>
      <c r="M84" s="61"/>
      <c r="N84" s="60"/>
      <c r="O84" s="36"/>
      <c r="P84" s="4" t="str">
        <f t="shared" si="1"/>
        <v/>
      </c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3:26" x14ac:dyDescent="0.25">
      <c r="C85" s="4"/>
      <c r="D85" s="21"/>
      <c r="E85" s="4"/>
      <c r="F85" s="4"/>
      <c r="G85" s="4"/>
      <c r="H85" s="4"/>
      <c r="I85" s="35"/>
      <c r="J85" s="4"/>
      <c r="K85" s="4"/>
      <c r="L85" s="61"/>
      <c r="M85" s="61"/>
      <c r="N85" s="60"/>
      <c r="O85" s="36"/>
      <c r="P85" s="4" t="str">
        <f t="shared" si="1"/>
        <v/>
      </c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3:26" x14ac:dyDescent="0.25">
      <c r="C86" s="4"/>
      <c r="D86" s="21"/>
      <c r="E86" s="4"/>
      <c r="F86" s="4"/>
      <c r="G86" s="4"/>
      <c r="H86" s="4"/>
      <c r="I86" s="35"/>
      <c r="J86" s="4"/>
      <c r="K86" s="4"/>
      <c r="L86" s="61"/>
      <c r="M86" s="61"/>
      <c r="N86" s="60"/>
      <c r="O86" s="36"/>
      <c r="P86" s="4" t="str">
        <f t="shared" si="1"/>
        <v/>
      </c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3:26" x14ac:dyDescent="0.25">
      <c r="C87" s="4"/>
      <c r="D87" s="21"/>
      <c r="E87" s="4"/>
      <c r="F87" s="4"/>
      <c r="G87" s="4"/>
      <c r="H87" s="4"/>
      <c r="I87" s="35"/>
      <c r="J87" s="4"/>
      <c r="K87" s="4"/>
      <c r="L87" s="61"/>
      <c r="M87" s="61"/>
      <c r="N87" s="60"/>
      <c r="O87" s="36"/>
      <c r="P87" s="4" t="str">
        <f t="shared" si="1"/>
        <v/>
      </c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3:26" x14ac:dyDescent="0.25">
      <c r="C88" s="4"/>
      <c r="D88" s="21"/>
      <c r="E88" s="4"/>
      <c r="F88" s="4"/>
      <c r="G88" s="4"/>
      <c r="H88" s="4"/>
      <c r="I88" s="35"/>
      <c r="J88" s="4"/>
      <c r="K88" s="4"/>
      <c r="L88" s="61"/>
      <c r="M88" s="61"/>
      <c r="N88" s="60"/>
      <c r="O88" s="36"/>
      <c r="P88" s="4" t="str">
        <f t="shared" si="1"/>
        <v/>
      </c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3:26" x14ac:dyDescent="0.25">
      <c r="C89" s="4"/>
      <c r="D89" s="21"/>
      <c r="E89" s="4"/>
      <c r="F89" s="4"/>
      <c r="G89" s="4"/>
      <c r="H89" s="4"/>
      <c r="I89" s="35"/>
      <c r="J89" s="4"/>
      <c r="K89" s="4"/>
      <c r="L89" s="61"/>
      <c r="M89" s="61"/>
      <c r="N89" s="60"/>
      <c r="O89" s="36"/>
      <c r="P89" s="4" t="str">
        <f t="shared" si="1"/>
        <v/>
      </c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3:26" x14ac:dyDescent="0.25">
      <c r="C90" s="4"/>
      <c r="D90" s="21"/>
      <c r="E90" s="4"/>
      <c r="F90" s="4"/>
      <c r="G90" s="4"/>
      <c r="H90" s="4"/>
      <c r="I90" s="35"/>
      <c r="J90" s="4"/>
      <c r="K90" s="4"/>
      <c r="L90" s="61"/>
      <c r="M90" s="61"/>
      <c r="N90" s="60"/>
      <c r="O90" s="36"/>
      <c r="P90" s="4" t="str">
        <f t="shared" si="1"/>
        <v/>
      </c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3:26" x14ac:dyDescent="0.25">
      <c r="C91" s="4"/>
      <c r="D91" s="21"/>
      <c r="E91" s="4"/>
      <c r="F91" s="4"/>
      <c r="G91" s="4"/>
      <c r="H91" s="4"/>
      <c r="I91" s="35"/>
      <c r="J91" s="4"/>
      <c r="K91" s="4"/>
      <c r="L91" s="61"/>
      <c r="M91" s="61"/>
      <c r="N91" s="60"/>
      <c r="O91" s="36"/>
      <c r="P91" s="4" t="str">
        <f t="shared" si="1"/>
        <v/>
      </c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3:26" x14ac:dyDescent="0.25">
      <c r="C92" s="4"/>
      <c r="D92" s="21"/>
      <c r="E92" s="4"/>
      <c r="F92" s="4"/>
      <c r="G92" s="4"/>
      <c r="H92" s="4"/>
      <c r="I92" s="35"/>
      <c r="J92" s="4"/>
      <c r="K92" s="4"/>
      <c r="L92" s="61"/>
      <c r="M92" s="61"/>
      <c r="N92" s="60"/>
      <c r="O92" s="36"/>
      <c r="P92" s="4" t="str">
        <f t="shared" si="1"/>
        <v/>
      </c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3:26" x14ac:dyDescent="0.25">
      <c r="C93" s="4"/>
      <c r="D93" s="21"/>
      <c r="E93" s="4"/>
      <c r="F93" s="4"/>
      <c r="G93" s="4"/>
      <c r="H93" s="4"/>
      <c r="I93" s="35"/>
      <c r="J93" s="4"/>
      <c r="K93" s="4"/>
      <c r="L93" s="61"/>
      <c r="M93" s="61"/>
      <c r="N93" s="60"/>
      <c r="O93" s="36"/>
      <c r="P93" s="4" t="str">
        <f t="shared" si="1"/>
        <v/>
      </c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3:26" x14ac:dyDescent="0.25">
      <c r="C94" s="4"/>
      <c r="D94" s="21"/>
      <c r="E94" s="4"/>
      <c r="F94" s="4"/>
      <c r="G94" s="4"/>
      <c r="H94" s="4"/>
      <c r="I94" s="35"/>
      <c r="J94" s="4"/>
      <c r="K94" s="4"/>
      <c r="L94" s="61"/>
      <c r="M94" s="61"/>
      <c r="N94" s="60"/>
      <c r="O94" s="36"/>
      <c r="P94" s="4" t="str">
        <f t="shared" si="1"/>
        <v/>
      </c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3:26" x14ac:dyDescent="0.25">
      <c r="C95" s="4"/>
      <c r="D95" s="21"/>
      <c r="E95" s="4"/>
      <c r="F95" s="4"/>
      <c r="G95" s="4"/>
      <c r="H95" s="4"/>
      <c r="I95" s="35"/>
      <c r="J95" s="4"/>
      <c r="K95" s="4"/>
      <c r="L95" s="61"/>
      <c r="M95" s="61"/>
      <c r="N95" s="60"/>
      <c r="O95" s="36"/>
      <c r="P95" s="4" t="str">
        <f t="shared" si="1"/>
        <v/>
      </c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3:26" x14ac:dyDescent="0.25">
      <c r="C96" s="4"/>
      <c r="D96" s="21"/>
      <c r="E96" s="4"/>
      <c r="F96" s="4"/>
      <c r="G96" s="4"/>
      <c r="H96" s="4"/>
      <c r="I96" s="35"/>
      <c r="J96" s="4"/>
      <c r="K96" s="4"/>
      <c r="L96" s="61"/>
      <c r="M96" s="61"/>
      <c r="N96" s="60"/>
      <c r="O96" s="36"/>
      <c r="P96" s="4" t="str">
        <f t="shared" si="1"/>
        <v/>
      </c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3:26" x14ac:dyDescent="0.25">
      <c r="C97" s="4"/>
      <c r="D97" s="21"/>
      <c r="E97" s="4"/>
      <c r="F97" s="4"/>
      <c r="G97" s="4"/>
      <c r="H97" s="4"/>
      <c r="I97" s="35"/>
      <c r="J97" s="4"/>
      <c r="K97" s="4"/>
      <c r="L97" s="61"/>
      <c r="M97" s="61"/>
      <c r="N97" s="60"/>
      <c r="O97" s="36"/>
      <c r="P97" s="4" t="str">
        <f t="shared" si="1"/>
        <v/>
      </c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3:26" x14ac:dyDescent="0.25">
      <c r="C98" s="4"/>
      <c r="D98" s="21"/>
      <c r="E98" s="4"/>
      <c r="F98" s="4"/>
      <c r="G98" s="4"/>
      <c r="H98" s="4"/>
      <c r="I98" s="35"/>
      <c r="J98" s="4"/>
      <c r="K98" s="4"/>
      <c r="L98" s="61"/>
      <c r="M98" s="61"/>
      <c r="N98" s="60"/>
      <c r="O98" s="36"/>
      <c r="P98" s="4" t="str">
        <f t="shared" si="1"/>
        <v/>
      </c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3:26" x14ac:dyDescent="0.25">
      <c r="C99" s="4"/>
      <c r="D99" s="21"/>
      <c r="E99" s="4"/>
      <c r="F99" s="4"/>
      <c r="G99" s="4"/>
      <c r="H99" s="4"/>
      <c r="I99" s="35"/>
      <c r="J99" s="4"/>
      <c r="K99" s="4"/>
      <c r="L99" s="61"/>
      <c r="M99" s="61"/>
      <c r="N99" s="60"/>
      <c r="O99" s="36"/>
      <c r="P99" s="4" t="str">
        <f t="shared" si="1"/>
        <v/>
      </c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3:26" x14ac:dyDescent="0.25">
      <c r="C100" s="4"/>
      <c r="D100" s="21"/>
      <c r="E100" s="4"/>
      <c r="F100" s="4"/>
      <c r="G100" s="4"/>
      <c r="H100" s="4"/>
      <c r="I100" s="35"/>
      <c r="J100" s="4"/>
      <c r="K100" s="4"/>
      <c r="L100" s="61"/>
      <c r="M100" s="61"/>
      <c r="N100" s="60"/>
      <c r="O100" s="36"/>
      <c r="P100" s="4" t="str">
        <f t="shared" si="1"/>
        <v/>
      </c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3:26" x14ac:dyDescent="0.25">
      <c r="C101" s="4"/>
      <c r="D101" s="21"/>
      <c r="E101" s="4"/>
      <c r="F101" s="4"/>
      <c r="G101" s="4"/>
      <c r="H101" s="4"/>
      <c r="I101" s="35"/>
      <c r="J101" s="4"/>
      <c r="K101" s="4"/>
      <c r="L101" s="61"/>
      <c r="M101" s="61"/>
      <c r="N101" s="60"/>
      <c r="O101" s="36"/>
      <c r="P101" s="4" t="str">
        <f t="shared" si="1"/>
        <v/>
      </c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3:26" x14ac:dyDescent="0.25">
      <c r="C102" s="4"/>
      <c r="D102" s="21"/>
      <c r="E102" s="4"/>
      <c r="F102" s="4"/>
      <c r="G102" s="4"/>
      <c r="H102" s="4"/>
      <c r="I102" s="35"/>
      <c r="J102" s="4"/>
      <c r="K102" s="4"/>
      <c r="L102" s="61"/>
      <c r="M102" s="61"/>
      <c r="N102" s="60"/>
      <c r="O102" s="36"/>
      <c r="P102" s="4" t="str">
        <f t="shared" si="1"/>
        <v/>
      </c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3:26" x14ac:dyDescent="0.25">
      <c r="C103" s="4"/>
      <c r="D103" s="21"/>
      <c r="E103" s="4"/>
      <c r="F103" s="4"/>
      <c r="G103" s="4"/>
      <c r="H103" s="4"/>
      <c r="I103" s="35"/>
      <c r="J103" s="4"/>
      <c r="K103" s="4"/>
      <c r="L103" s="61"/>
      <c r="M103" s="61"/>
      <c r="N103" s="60"/>
      <c r="O103" s="36"/>
      <c r="P103" s="4" t="str">
        <f t="shared" si="1"/>
        <v/>
      </c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3:26" x14ac:dyDescent="0.25">
      <c r="C104" s="4"/>
      <c r="D104" s="21"/>
      <c r="E104" s="4"/>
      <c r="F104" s="4"/>
      <c r="G104" s="4"/>
      <c r="H104" s="4"/>
      <c r="I104" s="35"/>
      <c r="J104" s="4"/>
      <c r="K104" s="4"/>
      <c r="L104" s="61"/>
      <c r="M104" s="61"/>
      <c r="N104" s="60"/>
      <c r="O104" s="36"/>
      <c r="P104" s="4" t="str">
        <f t="shared" si="1"/>
        <v/>
      </c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3:26" x14ac:dyDescent="0.25">
      <c r="C105" s="4"/>
      <c r="D105" s="21"/>
      <c r="E105" s="4"/>
      <c r="F105" s="4"/>
      <c r="G105" s="4"/>
      <c r="H105" s="4"/>
      <c r="I105" s="35"/>
      <c r="J105" s="4"/>
      <c r="K105" s="4"/>
      <c r="L105" s="61"/>
      <c r="M105" s="61"/>
      <c r="N105" s="60"/>
      <c r="O105" s="36"/>
      <c r="P105" s="4" t="str">
        <f t="shared" si="1"/>
        <v/>
      </c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3:26" x14ac:dyDescent="0.25">
      <c r="C106" s="4"/>
      <c r="D106" s="21"/>
      <c r="E106" s="4"/>
      <c r="F106" s="4"/>
      <c r="G106" s="4"/>
      <c r="H106" s="4"/>
      <c r="I106" s="35"/>
      <c r="J106" s="4"/>
      <c r="K106" s="4"/>
      <c r="L106" s="61"/>
      <c r="M106" s="61"/>
      <c r="N106" s="60"/>
      <c r="O106" s="36"/>
      <c r="P106" s="4" t="str">
        <f t="shared" si="1"/>
        <v/>
      </c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3:26" x14ac:dyDescent="0.25">
      <c r="C107" s="4"/>
      <c r="D107" s="21"/>
      <c r="E107" s="4"/>
      <c r="F107" s="4"/>
      <c r="G107" s="4"/>
      <c r="H107" s="4"/>
      <c r="I107" s="35"/>
      <c r="J107" s="4"/>
      <c r="K107" s="4"/>
      <c r="L107" s="61"/>
      <c r="M107" s="61"/>
      <c r="N107" s="60"/>
      <c r="O107" s="36"/>
      <c r="P107" s="4" t="str">
        <f t="shared" si="1"/>
        <v/>
      </c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3:26" x14ac:dyDescent="0.25">
      <c r="C108" s="4"/>
      <c r="D108" s="21"/>
      <c r="E108" s="4"/>
      <c r="F108" s="4"/>
      <c r="G108" s="4"/>
      <c r="H108" s="4"/>
      <c r="I108" s="35"/>
      <c r="J108" s="4"/>
      <c r="K108" s="4"/>
      <c r="L108" s="61"/>
      <c r="M108" s="61"/>
      <c r="N108" s="60"/>
      <c r="O108" s="36"/>
      <c r="P108" s="4" t="str">
        <f t="shared" si="1"/>
        <v/>
      </c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3:26" x14ac:dyDescent="0.25">
      <c r="C109" s="4"/>
      <c r="D109" s="21"/>
      <c r="E109" s="4"/>
      <c r="F109" s="4"/>
      <c r="G109" s="4"/>
      <c r="H109" s="4"/>
      <c r="I109" s="35"/>
      <c r="J109" s="4"/>
      <c r="K109" s="4"/>
      <c r="L109" s="61"/>
      <c r="M109" s="61"/>
      <c r="N109" s="60"/>
      <c r="O109" s="36"/>
      <c r="P109" s="4" t="str">
        <f t="shared" si="1"/>
        <v/>
      </c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3:26" x14ac:dyDescent="0.25">
      <c r="C110" s="4"/>
      <c r="D110" s="21"/>
      <c r="E110" s="4"/>
      <c r="F110" s="4"/>
      <c r="G110" s="4"/>
      <c r="H110" s="4"/>
      <c r="I110" s="35"/>
      <c r="J110" s="4"/>
      <c r="K110" s="4"/>
      <c r="L110" s="61"/>
      <c r="M110" s="61"/>
      <c r="N110" s="60"/>
      <c r="O110" s="36"/>
      <c r="P110" s="4" t="str">
        <f t="shared" si="1"/>
        <v/>
      </c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3:26" x14ac:dyDescent="0.25">
      <c r="C111" s="4"/>
      <c r="D111" s="21"/>
      <c r="E111" s="4"/>
      <c r="F111" s="4"/>
      <c r="G111" s="4"/>
      <c r="H111" s="4"/>
      <c r="I111" s="35"/>
      <c r="J111" s="4"/>
      <c r="K111" s="4"/>
      <c r="L111" s="61"/>
      <c r="M111" s="61"/>
      <c r="N111" s="60"/>
      <c r="O111" s="36"/>
      <c r="P111" s="4" t="str">
        <f t="shared" si="1"/>
        <v/>
      </c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3:26" x14ac:dyDescent="0.25">
      <c r="C112" s="4"/>
      <c r="D112" s="21"/>
      <c r="E112" s="4"/>
      <c r="F112" s="4"/>
      <c r="G112" s="4"/>
      <c r="H112" s="4"/>
      <c r="I112" s="35"/>
      <c r="J112" s="4"/>
      <c r="K112" s="4"/>
      <c r="L112" s="61"/>
      <c r="M112" s="61"/>
      <c r="N112" s="60"/>
      <c r="O112" s="36"/>
      <c r="P112" s="4" t="str">
        <f t="shared" si="1"/>
        <v/>
      </c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3:26" x14ac:dyDescent="0.25">
      <c r="C113" s="4"/>
      <c r="D113" s="21"/>
      <c r="E113" s="4"/>
      <c r="F113" s="4"/>
      <c r="G113" s="4"/>
      <c r="H113" s="4"/>
      <c r="I113" s="35"/>
      <c r="J113" s="4"/>
      <c r="K113" s="4"/>
      <c r="L113" s="61"/>
      <c r="M113" s="61"/>
      <c r="N113" s="60"/>
      <c r="O113" s="36"/>
      <c r="P113" s="4" t="str">
        <f t="shared" si="1"/>
        <v/>
      </c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3:26" x14ac:dyDescent="0.25">
      <c r="C114" s="4"/>
      <c r="D114" s="21"/>
      <c r="E114" s="4"/>
      <c r="F114" s="4"/>
      <c r="G114" s="4"/>
      <c r="H114" s="4"/>
      <c r="I114" s="35"/>
      <c r="J114" s="4"/>
      <c r="K114" s="4"/>
      <c r="L114" s="61"/>
      <c r="M114" s="61"/>
      <c r="N114" s="60"/>
      <c r="O114" s="36"/>
      <c r="P114" s="4" t="str">
        <f t="shared" si="1"/>
        <v/>
      </c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3:26" x14ac:dyDescent="0.25">
      <c r="C115" s="4"/>
      <c r="D115" s="21"/>
      <c r="E115" s="4"/>
      <c r="F115" s="4"/>
      <c r="G115" s="4"/>
      <c r="H115" s="4"/>
      <c r="I115" s="35"/>
      <c r="J115" s="4"/>
      <c r="K115" s="4"/>
      <c r="L115" s="61"/>
      <c r="M115" s="61"/>
      <c r="N115" s="60"/>
      <c r="O115" s="36"/>
      <c r="P115" s="4" t="str">
        <f t="shared" si="1"/>
        <v/>
      </c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3:26" x14ac:dyDescent="0.25">
      <c r="C116" s="4"/>
      <c r="D116" s="21"/>
      <c r="E116" s="4"/>
      <c r="F116" s="4"/>
      <c r="G116" s="4"/>
      <c r="H116" s="4"/>
      <c r="I116" s="35"/>
      <c r="J116" s="4"/>
      <c r="K116" s="4"/>
      <c r="L116" s="61"/>
      <c r="M116" s="61"/>
      <c r="N116" s="60"/>
      <c r="O116" s="36"/>
      <c r="P116" s="4" t="str">
        <f t="shared" si="1"/>
        <v/>
      </c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3:26" x14ac:dyDescent="0.25">
      <c r="C117" s="4"/>
      <c r="D117" s="21"/>
      <c r="E117" s="4"/>
      <c r="F117" s="4"/>
      <c r="G117" s="4"/>
      <c r="H117" s="4"/>
      <c r="I117" s="35"/>
      <c r="J117" s="4"/>
      <c r="K117" s="4"/>
      <c r="L117" s="61"/>
      <c r="M117" s="61"/>
      <c r="N117" s="60"/>
      <c r="O117" s="36"/>
      <c r="P117" s="4" t="str">
        <f t="shared" si="1"/>
        <v/>
      </c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3:26" x14ac:dyDescent="0.25">
      <c r="C118" s="4"/>
      <c r="D118" s="21"/>
      <c r="E118" s="4"/>
      <c r="F118" s="4"/>
      <c r="G118" s="4"/>
      <c r="H118" s="4"/>
      <c r="I118" s="35"/>
      <c r="J118" s="4"/>
      <c r="K118" s="4"/>
      <c r="L118" s="61"/>
      <c r="M118" s="61"/>
      <c r="N118" s="60"/>
      <c r="O118" s="36"/>
      <c r="P118" s="4" t="str">
        <f t="shared" si="1"/>
        <v/>
      </c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3:26" x14ac:dyDescent="0.25">
      <c r="C119" s="4"/>
      <c r="D119" s="21"/>
      <c r="E119" s="4"/>
      <c r="F119" s="4"/>
      <c r="G119" s="4"/>
      <c r="H119" s="4"/>
      <c r="I119" s="35"/>
      <c r="J119" s="4"/>
      <c r="K119" s="4"/>
      <c r="L119" s="61"/>
      <c r="M119" s="61"/>
      <c r="N119" s="60"/>
      <c r="O119" s="36"/>
      <c r="P119" s="4" t="str">
        <f t="shared" si="1"/>
        <v/>
      </c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3:26" x14ac:dyDescent="0.25">
      <c r="C120" s="4"/>
      <c r="D120" s="21"/>
      <c r="E120" s="4"/>
      <c r="F120" s="4"/>
      <c r="G120" s="4"/>
      <c r="H120" s="4"/>
      <c r="I120" s="35"/>
      <c r="J120" s="4"/>
      <c r="K120" s="4"/>
      <c r="L120" s="61"/>
      <c r="M120" s="61"/>
      <c r="N120" s="60"/>
      <c r="O120" s="36"/>
      <c r="P120" s="4" t="str">
        <f t="shared" si="1"/>
        <v/>
      </c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3:26" x14ac:dyDescent="0.25">
      <c r="C121" s="4"/>
      <c r="D121" s="21"/>
      <c r="E121" s="4"/>
      <c r="F121" s="4"/>
      <c r="G121" s="4"/>
      <c r="H121" s="4"/>
      <c r="I121" s="35"/>
      <c r="J121" s="4"/>
      <c r="K121" s="4"/>
      <c r="L121" s="61"/>
      <c r="M121" s="61"/>
      <c r="N121" s="60"/>
      <c r="O121" s="36"/>
      <c r="P121" s="4" t="str">
        <f t="shared" si="1"/>
        <v/>
      </c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3:26" x14ac:dyDescent="0.25">
      <c r="C122" s="4"/>
      <c r="D122" s="21"/>
      <c r="E122" s="4"/>
      <c r="F122" s="4"/>
      <c r="G122" s="4"/>
      <c r="H122" s="4"/>
      <c r="I122" s="35"/>
      <c r="J122" s="4"/>
      <c r="K122" s="4"/>
      <c r="L122" s="61"/>
      <c r="M122" s="61"/>
      <c r="N122" s="60"/>
      <c r="O122" s="36"/>
      <c r="P122" s="4" t="str">
        <f t="shared" si="1"/>
        <v/>
      </c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3:26" x14ac:dyDescent="0.25">
      <c r="C123" s="4"/>
      <c r="D123" s="21"/>
      <c r="E123" s="4"/>
      <c r="F123" s="4"/>
      <c r="G123" s="4"/>
      <c r="H123" s="4"/>
      <c r="I123" s="35"/>
      <c r="J123" s="4"/>
      <c r="K123" s="4"/>
      <c r="L123" s="61"/>
      <c r="M123" s="61"/>
      <c r="N123" s="60"/>
      <c r="O123" s="36"/>
      <c r="P123" s="4" t="str">
        <f t="shared" si="1"/>
        <v/>
      </c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3:26" x14ac:dyDescent="0.25">
      <c r="C124" s="4"/>
      <c r="D124" s="21"/>
      <c r="E124" s="4"/>
      <c r="F124" s="4"/>
      <c r="G124" s="4"/>
      <c r="H124" s="4"/>
      <c r="I124" s="35"/>
      <c r="J124" s="4"/>
      <c r="K124" s="4"/>
      <c r="L124" s="61"/>
      <c r="M124" s="61"/>
      <c r="N124" s="60"/>
      <c r="O124" s="36"/>
      <c r="P124" s="4" t="str">
        <f t="shared" si="1"/>
        <v/>
      </c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3:26" x14ac:dyDescent="0.25">
      <c r="C125" s="4"/>
      <c r="D125" s="21"/>
      <c r="E125" s="4"/>
      <c r="F125" s="4"/>
      <c r="G125" s="4"/>
      <c r="H125" s="4"/>
      <c r="I125" s="35"/>
      <c r="J125" s="4"/>
      <c r="K125" s="4"/>
      <c r="L125" s="61"/>
      <c r="M125" s="61"/>
      <c r="N125" s="60"/>
      <c r="O125" s="36"/>
      <c r="P125" s="4" t="str">
        <f t="shared" si="1"/>
        <v/>
      </c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3:26" x14ac:dyDescent="0.25">
      <c r="C126" s="4"/>
      <c r="D126" s="21"/>
      <c r="E126" s="4"/>
      <c r="F126" s="4"/>
      <c r="G126" s="4"/>
      <c r="H126" s="4"/>
      <c r="I126" s="35"/>
      <c r="J126" s="4"/>
      <c r="K126" s="4"/>
      <c r="L126" s="61"/>
      <c r="M126" s="61"/>
      <c r="N126" s="60"/>
      <c r="O126" s="36"/>
      <c r="P126" s="4" t="str">
        <f t="shared" si="1"/>
        <v/>
      </c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3:26" x14ac:dyDescent="0.25">
      <c r="C127" s="4"/>
      <c r="D127" s="21"/>
      <c r="E127" s="4"/>
      <c r="F127" s="4"/>
      <c r="G127" s="4"/>
      <c r="H127" s="4"/>
      <c r="I127" s="35"/>
      <c r="J127" s="4"/>
      <c r="K127" s="4"/>
      <c r="L127" s="61"/>
      <c r="M127" s="61"/>
      <c r="N127" s="60"/>
      <c r="O127" s="36"/>
      <c r="P127" s="4" t="str">
        <f t="shared" si="1"/>
        <v/>
      </c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3:26" x14ac:dyDescent="0.25">
      <c r="C128" s="4"/>
      <c r="D128" s="21"/>
      <c r="E128" s="4"/>
      <c r="F128" s="4"/>
      <c r="G128" s="4"/>
      <c r="H128" s="4"/>
      <c r="I128" s="35"/>
      <c r="J128" s="4"/>
      <c r="K128" s="4"/>
      <c r="L128" s="61"/>
      <c r="M128" s="61"/>
      <c r="N128" s="60"/>
      <c r="O128" s="36"/>
      <c r="P128" s="4" t="str">
        <f t="shared" si="1"/>
        <v/>
      </c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3:26" x14ac:dyDescent="0.25">
      <c r="C129" s="4"/>
      <c r="D129" s="21"/>
      <c r="E129" s="4"/>
      <c r="F129" s="4"/>
      <c r="G129" s="4"/>
      <c r="H129" s="4"/>
      <c r="I129" s="35"/>
      <c r="J129" s="4"/>
      <c r="K129" s="4"/>
      <c r="L129" s="61"/>
      <c r="M129" s="61"/>
      <c r="N129" s="60"/>
      <c r="O129" s="36"/>
      <c r="P129" s="4" t="str">
        <f t="shared" si="1"/>
        <v/>
      </c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3:26" x14ac:dyDescent="0.25">
      <c r="C130" s="4"/>
      <c r="D130" s="21"/>
      <c r="E130" s="4"/>
      <c r="F130" s="4"/>
      <c r="G130" s="4"/>
      <c r="H130" s="4"/>
      <c r="I130" s="35"/>
      <c r="J130" s="4"/>
      <c r="K130" s="4"/>
      <c r="L130" s="61"/>
      <c r="M130" s="61"/>
      <c r="N130" s="60"/>
      <c r="O130" s="36"/>
      <c r="P130" s="4" t="str">
        <f t="shared" si="1"/>
        <v/>
      </c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3:26" x14ac:dyDescent="0.25">
      <c r="C131" s="4"/>
      <c r="D131" s="21"/>
      <c r="E131" s="4"/>
      <c r="F131" s="4"/>
      <c r="G131" s="4"/>
      <c r="H131" s="4"/>
      <c r="I131" s="35"/>
      <c r="J131" s="4"/>
      <c r="K131" s="4"/>
      <c r="L131" s="61"/>
      <c r="M131" s="61"/>
      <c r="N131" s="60"/>
      <c r="O131" s="36"/>
      <c r="P131" s="4" t="str">
        <f t="shared" si="1"/>
        <v/>
      </c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3:26" x14ac:dyDescent="0.25">
      <c r="C132" s="4"/>
      <c r="D132" s="21"/>
      <c r="E132" s="4"/>
      <c r="F132" s="4"/>
      <c r="G132" s="4"/>
      <c r="H132" s="4"/>
      <c r="I132" s="35"/>
      <c r="J132" s="4"/>
      <c r="K132" s="4"/>
      <c r="L132" s="61"/>
      <c r="M132" s="61"/>
      <c r="N132" s="60"/>
      <c r="O132" s="36"/>
      <c r="P132" s="4" t="str">
        <f t="shared" si="1"/>
        <v/>
      </c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3:26" x14ac:dyDescent="0.25">
      <c r="C133" s="4"/>
      <c r="D133" s="21"/>
      <c r="E133" s="4"/>
      <c r="F133" s="4"/>
      <c r="G133" s="4"/>
      <c r="H133" s="4"/>
      <c r="I133" s="35"/>
      <c r="J133" s="4"/>
      <c r="K133" s="4"/>
      <c r="L133" s="61"/>
      <c r="M133" s="61"/>
      <c r="N133" s="60"/>
      <c r="O133" s="36"/>
      <c r="P133" s="4" t="str">
        <f t="shared" si="1"/>
        <v/>
      </c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3:26" x14ac:dyDescent="0.25">
      <c r="C134" s="4"/>
      <c r="D134" s="21"/>
      <c r="E134" s="4"/>
      <c r="F134" s="4"/>
      <c r="G134" s="4"/>
      <c r="H134" s="4"/>
      <c r="I134" s="35"/>
      <c r="J134" s="4"/>
      <c r="K134" s="4"/>
      <c r="L134" s="61"/>
      <c r="M134" s="61"/>
      <c r="N134" s="60"/>
      <c r="O134" s="36"/>
      <c r="P134" s="4" t="str">
        <f t="shared" si="1"/>
        <v/>
      </c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3:26" x14ac:dyDescent="0.25">
      <c r="C135" s="4"/>
      <c r="D135" s="21"/>
      <c r="E135" s="4"/>
      <c r="F135" s="4"/>
      <c r="G135" s="4"/>
      <c r="H135" s="4"/>
      <c r="I135" s="35"/>
      <c r="J135" s="4"/>
      <c r="K135" s="4"/>
      <c r="L135" s="61"/>
      <c r="M135" s="61"/>
      <c r="N135" s="60"/>
      <c r="O135" s="36"/>
      <c r="P135" s="4" t="str">
        <f t="shared" ref="P135:P198" si="2">IF(I135="","",SUMIFS(OrderItems_Qty,OrderItems_Type,"PURCHASE",OrderItems_SKU,I135)-SUMIFS(OrderItems_Qty,OrderItems_Type,"SALE",OrderItems_SKU,I135))</f>
        <v/>
      </c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3:26" x14ac:dyDescent="0.25">
      <c r="C136" s="4"/>
      <c r="D136" s="21"/>
      <c r="E136" s="4"/>
      <c r="F136" s="4"/>
      <c r="G136" s="4"/>
      <c r="H136" s="4"/>
      <c r="I136" s="35"/>
      <c r="J136" s="4"/>
      <c r="K136" s="4"/>
      <c r="L136" s="61"/>
      <c r="M136" s="61"/>
      <c r="N136" s="60"/>
      <c r="O136" s="36"/>
      <c r="P136" s="4" t="str">
        <f t="shared" si="2"/>
        <v/>
      </c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3:26" x14ac:dyDescent="0.25">
      <c r="C137" s="4"/>
      <c r="D137" s="21"/>
      <c r="E137" s="4"/>
      <c r="F137" s="4"/>
      <c r="G137" s="4"/>
      <c r="H137" s="4"/>
      <c r="I137" s="35"/>
      <c r="J137" s="4"/>
      <c r="K137" s="4"/>
      <c r="L137" s="61"/>
      <c r="M137" s="61"/>
      <c r="N137" s="60"/>
      <c r="O137" s="36"/>
      <c r="P137" s="4" t="str">
        <f t="shared" si="2"/>
        <v/>
      </c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3:26" x14ac:dyDescent="0.25">
      <c r="C138" s="4"/>
      <c r="D138" s="21"/>
      <c r="E138" s="4"/>
      <c r="F138" s="4"/>
      <c r="G138" s="4"/>
      <c r="H138" s="4"/>
      <c r="I138" s="35"/>
      <c r="J138" s="4"/>
      <c r="K138" s="4"/>
      <c r="L138" s="61"/>
      <c r="M138" s="61"/>
      <c r="N138" s="60"/>
      <c r="O138" s="36"/>
      <c r="P138" s="4" t="str">
        <f t="shared" si="2"/>
        <v/>
      </c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3:26" x14ac:dyDescent="0.25">
      <c r="C139" s="4"/>
      <c r="D139" s="21"/>
      <c r="E139" s="4"/>
      <c r="F139" s="4"/>
      <c r="G139" s="4"/>
      <c r="H139" s="4"/>
      <c r="I139" s="35"/>
      <c r="J139" s="4"/>
      <c r="K139" s="4"/>
      <c r="L139" s="61"/>
      <c r="M139" s="61"/>
      <c r="N139" s="60"/>
      <c r="O139" s="36"/>
      <c r="P139" s="4" t="str">
        <f t="shared" si="2"/>
        <v/>
      </c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3:26" x14ac:dyDescent="0.25">
      <c r="C140" s="4"/>
      <c r="D140" s="21"/>
      <c r="E140" s="4"/>
      <c r="F140" s="4"/>
      <c r="G140" s="4"/>
      <c r="H140" s="4"/>
      <c r="I140" s="35"/>
      <c r="J140" s="4"/>
      <c r="K140" s="4"/>
      <c r="L140" s="61"/>
      <c r="M140" s="61"/>
      <c r="N140" s="60"/>
      <c r="O140" s="36"/>
      <c r="P140" s="4" t="str">
        <f t="shared" si="2"/>
        <v/>
      </c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3:26" x14ac:dyDescent="0.25">
      <c r="C141" s="4"/>
      <c r="D141" s="21"/>
      <c r="E141" s="4"/>
      <c r="F141" s="4"/>
      <c r="G141" s="4"/>
      <c r="H141" s="4"/>
      <c r="I141" s="35"/>
      <c r="J141" s="4"/>
      <c r="K141" s="4"/>
      <c r="L141" s="61"/>
      <c r="M141" s="61"/>
      <c r="N141" s="60"/>
      <c r="O141" s="36"/>
      <c r="P141" s="4" t="str">
        <f t="shared" si="2"/>
        <v/>
      </c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3:26" x14ac:dyDescent="0.25">
      <c r="C142" s="4"/>
      <c r="D142" s="21"/>
      <c r="E142" s="4"/>
      <c r="F142" s="4"/>
      <c r="G142" s="4"/>
      <c r="H142" s="4"/>
      <c r="I142" s="35"/>
      <c r="J142" s="4"/>
      <c r="K142" s="4"/>
      <c r="L142" s="61"/>
      <c r="M142" s="61"/>
      <c r="N142" s="60"/>
      <c r="O142" s="36"/>
      <c r="P142" s="4" t="str">
        <f t="shared" si="2"/>
        <v/>
      </c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3:26" x14ac:dyDescent="0.25">
      <c r="C143" s="4"/>
      <c r="D143" s="21"/>
      <c r="E143" s="4"/>
      <c r="F143" s="4"/>
      <c r="G143" s="4"/>
      <c r="H143" s="4"/>
      <c r="I143" s="35"/>
      <c r="J143" s="4"/>
      <c r="K143" s="4"/>
      <c r="L143" s="61"/>
      <c r="M143" s="61"/>
      <c r="N143" s="60"/>
      <c r="O143" s="36"/>
      <c r="P143" s="4" t="str">
        <f t="shared" si="2"/>
        <v/>
      </c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3:26" x14ac:dyDescent="0.25">
      <c r="C144" s="4"/>
      <c r="D144" s="21"/>
      <c r="E144" s="4"/>
      <c r="F144" s="4"/>
      <c r="G144" s="4"/>
      <c r="H144" s="4"/>
      <c r="I144" s="35"/>
      <c r="J144" s="4"/>
      <c r="K144" s="4"/>
      <c r="L144" s="61"/>
      <c r="M144" s="61"/>
      <c r="N144" s="60"/>
      <c r="O144" s="36"/>
      <c r="P144" s="4" t="str">
        <f t="shared" si="2"/>
        <v/>
      </c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3:26" x14ac:dyDescent="0.25">
      <c r="C145" s="4"/>
      <c r="D145" s="21"/>
      <c r="E145" s="4"/>
      <c r="F145" s="4"/>
      <c r="G145" s="4"/>
      <c r="H145" s="4"/>
      <c r="I145" s="35"/>
      <c r="J145" s="4"/>
      <c r="K145" s="4"/>
      <c r="L145" s="61"/>
      <c r="M145" s="61"/>
      <c r="N145" s="60"/>
      <c r="O145" s="36"/>
      <c r="P145" s="4" t="str">
        <f t="shared" si="2"/>
        <v/>
      </c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3:26" x14ac:dyDescent="0.25">
      <c r="C146" s="4"/>
      <c r="D146" s="21"/>
      <c r="E146" s="4"/>
      <c r="F146" s="4"/>
      <c r="G146" s="4"/>
      <c r="H146" s="4"/>
      <c r="I146" s="35"/>
      <c r="J146" s="4"/>
      <c r="K146" s="4"/>
      <c r="L146" s="61"/>
      <c r="M146" s="61"/>
      <c r="N146" s="60"/>
      <c r="O146" s="36"/>
      <c r="P146" s="4" t="str">
        <f t="shared" si="2"/>
        <v/>
      </c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3:26" x14ac:dyDescent="0.25">
      <c r="C147" s="4"/>
      <c r="D147" s="21"/>
      <c r="E147" s="4"/>
      <c r="F147" s="4"/>
      <c r="G147" s="4"/>
      <c r="H147" s="4"/>
      <c r="I147" s="35"/>
      <c r="J147" s="4"/>
      <c r="K147" s="4"/>
      <c r="L147" s="61"/>
      <c r="M147" s="61"/>
      <c r="N147" s="60"/>
      <c r="O147" s="36"/>
      <c r="P147" s="4" t="str">
        <f t="shared" si="2"/>
        <v/>
      </c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3:26" x14ac:dyDescent="0.25">
      <c r="C148" s="4"/>
      <c r="D148" s="21"/>
      <c r="E148" s="4"/>
      <c r="F148" s="4"/>
      <c r="G148" s="4"/>
      <c r="H148" s="4"/>
      <c r="I148" s="35"/>
      <c r="J148" s="4"/>
      <c r="K148" s="4"/>
      <c r="L148" s="61"/>
      <c r="M148" s="61"/>
      <c r="N148" s="60"/>
      <c r="O148" s="36"/>
      <c r="P148" s="4" t="str">
        <f t="shared" si="2"/>
        <v/>
      </c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3:26" x14ac:dyDescent="0.25">
      <c r="C149" s="4"/>
      <c r="D149" s="21"/>
      <c r="E149" s="4"/>
      <c r="F149" s="4"/>
      <c r="G149" s="4"/>
      <c r="H149" s="4"/>
      <c r="I149" s="35"/>
      <c r="J149" s="4"/>
      <c r="K149" s="4"/>
      <c r="L149" s="61"/>
      <c r="M149" s="61"/>
      <c r="N149" s="60"/>
      <c r="O149" s="36"/>
      <c r="P149" s="4" t="str">
        <f t="shared" si="2"/>
        <v/>
      </c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3:26" x14ac:dyDescent="0.25">
      <c r="C150" s="4"/>
      <c r="D150" s="21"/>
      <c r="E150" s="4"/>
      <c r="F150" s="4"/>
      <c r="G150" s="4"/>
      <c r="H150" s="4"/>
      <c r="I150" s="35"/>
      <c r="J150" s="4"/>
      <c r="K150" s="4"/>
      <c r="L150" s="61"/>
      <c r="M150" s="61"/>
      <c r="N150" s="60"/>
      <c r="O150" s="36"/>
      <c r="P150" s="4" t="str">
        <f t="shared" si="2"/>
        <v/>
      </c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3:26" x14ac:dyDescent="0.25">
      <c r="C151" s="4"/>
      <c r="D151" s="21"/>
      <c r="E151" s="4"/>
      <c r="F151" s="4"/>
      <c r="G151" s="4"/>
      <c r="H151" s="4"/>
      <c r="I151" s="35"/>
      <c r="J151" s="4"/>
      <c r="K151" s="4"/>
      <c r="L151" s="61"/>
      <c r="M151" s="61"/>
      <c r="N151" s="60"/>
      <c r="O151" s="36"/>
      <c r="P151" s="4" t="str">
        <f t="shared" si="2"/>
        <v/>
      </c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3:26" x14ac:dyDescent="0.25">
      <c r="C152" s="4"/>
      <c r="D152" s="21"/>
      <c r="E152" s="4"/>
      <c r="F152" s="4"/>
      <c r="G152" s="4"/>
      <c r="H152" s="4"/>
      <c r="I152" s="35"/>
      <c r="J152" s="4"/>
      <c r="K152" s="4"/>
      <c r="L152" s="61"/>
      <c r="M152" s="61"/>
      <c r="N152" s="60"/>
      <c r="O152" s="36"/>
      <c r="P152" s="4" t="str">
        <f t="shared" si="2"/>
        <v/>
      </c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3:26" x14ac:dyDescent="0.25">
      <c r="C153" s="4"/>
      <c r="D153" s="21"/>
      <c r="E153" s="4"/>
      <c r="F153" s="4"/>
      <c r="G153" s="4"/>
      <c r="H153" s="4"/>
      <c r="I153" s="35"/>
      <c r="J153" s="4"/>
      <c r="K153" s="4"/>
      <c r="L153" s="61"/>
      <c r="M153" s="61"/>
      <c r="N153" s="60"/>
      <c r="O153" s="36"/>
      <c r="P153" s="4" t="str">
        <f t="shared" si="2"/>
        <v/>
      </c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3:26" x14ac:dyDescent="0.25">
      <c r="C154" s="4"/>
      <c r="D154" s="21"/>
      <c r="E154" s="4"/>
      <c r="F154" s="4"/>
      <c r="G154" s="4"/>
      <c r="H154" s="4"/>
      <c r="I154" s="35"/>
      <c r="J154" s="4"/>
      <c r="K154" s="4"/>
      <c r="L154" s="61"/>
      <c r="M154" s="61"/>
      <c r="N154" s="60"/>
      <c r="O154" s="36"/>
      <c r="P154" s="4" t="str">
        <f t="shared" si="2"/>
        <v/>
      </c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3:26" x14ac:dyDescent="0.25">
      <c r="C155" s="4"/>
      <c r="D155" s="21"/>
      <c r="E155" s="4"/>
      <c r="F155" s="4"/>
      <c r="G155" s="4"/>
      <c r="H155" s="4"/>
      <c r="I155" s="35"/>
      <c r="J155" s="4"/>
      <c r="K155" s="4"/>
      <c r="L155" s="61"/>
      <c r="M155" s="61"/>
      <c r="N155" s="60"/>
      <c r="O155" s="36"/>
      <c r="P155" s="4" t="str">
        <f t="shared" si="2"/>
        <v/>
      </c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3:26" x14ac:dyDescent="0.25">
      <c r="C156" s="4"/>
      <c r="D156" s="21"/>
      <c r="E156" s="4"/>
      <c r="F156" s="4"/>
      <c r="G156" s="4"/>
      <c r="H156" s="4"/>
      <c r="I156" s="35"/>
      <c r="J156" s="4"/>
      <c r="K156" s="4"/>
      <c r="L156" s="61"/>
      <c r="M156" s="61"/>
      <c r="N156" s="60"/>
      <c r="O156" s="36"/>
      <c r="P156" s="4" t="str">
        <f t="shared" si="2"/>
        <v/>
      </c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3:26" x14ac:dyDescent="0.25">
      <c r="C157" s="4"/>
      <c r="D157" s="21"/>
      <c r="E157" s="4"/>
      <c r="F157" s="4"/>
      <c r="G157" s="4"/>
      <c r="H157" s="4"/>
      <c r="I157" s="35"/>
      <c r="J157" s="4"/>
      <c r="K157" s="4"/>
      <c r="L157" s="61"/>
      <c r="M157" s="61"/>
      <c r="N157" s="60"/>
      <c r="O157" s="36"/>
      <c r="P157" s="4" t="str">
        <f t="shared" si="2"/>
        <v/>
      </c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3:26" x14ac:dyDescent="0.25">
      <c r="C158" s="4"/>
      <c r="D158" s="21"/>
      <c r="E158" s="4"/>
      <c r="F158" s="4"/>
      <c r="G158" s="4"/>
      <c r="H158" s="4"/>
      <c r="I158" s="35"/>
      <c r="J158" s="4"/>
      <c r="K158" s="4"/>
      <c r="L158" s="61"/>
      <c r="M158" s="61"/>
      <c r="N158" s="60"/>
      <c r="O158" s="36"/>
      <c r="P158" s="4" t="str">
        <f t="shared" si="2"/>
        <v/>
      </c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3:26" x14ac:dyDescent="0.25">
      <c r="C159" s="4"/>
      <c r="D159" s="21"/>
      <c r="E159" s="4"/>
      <c r="F159" s="4"/>
      <c r="G159" s="4"/>
      <c r="H159" s="4"/>
      <c r="I159" s="35"/>
      <c r="J159" s="4"/>
      <c r="K159" s="4"/>
      <c r="L159" s="61"/>
      <c r="M159" s="61"/>
      <c r="N159" s="60"/>
      <c r="O159" s="36"/>
      <c r="P159" s="4" t="str">
        <f t="shared" si="2"/>
        <v/>
      </c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3:26" x14ac:dyDescent="0.25">
      <c r="C160" s="4"/>
      <c r="D160" s="21"/>
      <c r="E160" s="4"/>
      <c r="F160" s="4"/>
      <c r="G160" s="4"/>
      <c r="H160" s="4"/>
      <c r="I160" s="35"/>
      <c r="J160" s="4"/>
      <c r="K160" s="4"/>
      <c r="L160" s="61"/>
      <c r="M160" s="61"/>
      <c r="N160" s="60"/>
      <c r="O160" s="36"/>
      <c r="P160" s="4" t="str">
        <f t="shared" si="2"/>
        <v/>
      </c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3:26" x14ac:dyDescent="0.25">
      <c r="C161" s="4"/>
      <c r="D161" s="21"/>
      <c r="E161" s="4"/>
      <c r="F161" s="4"/>
      <c r="G161" s="4"/>
      <c r="H161" s="4"/>
      <c r="I161" s="35"/>
      <c r="J161" s="4"/>
      <c r="K161" s="4"/>
      <c r="L161" s="61"/>
      <c r="M161" s="61"/>
      <c r="N161" s="60"/>
      <c r="O161" s="36"/>
      <c r="P161" s="4" t="str">
        <f t="shared" si="2"/>
        <v/>
      </c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3:26" x14ac:dyDescent="0.25">
      <c r="C162" s="4"/>
      <c r="D162" s="21"/>
      <c r="E162" s="4"/>
      <c r="F162" s="4"/>
      <c r="G162" s="4"/>
      <c r="H162" s="4"/>
      <c r="I162" s="35"/>
      <c r="J162" s="4"/>
      <c r="K162" s="4"/>
      <c r="L162" s="61"/>
      <c r="M162" s="61"/>
      <c r="N162" s="60"/>
      <c r="O162" s="36"/>
      <c r="P162" s="4" t="str">
        <f t="shared" si="2"/>
        <v/>
      </c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3:26" x14ac:dyDescent="0.25">
      <c r="C163" s="4"/>
      <c r="D163" s="21"/>
      <c r="E163" s="4"/>
      <c r="F163" s="4"/>
      <c r="G163" s="4"/>
      <c r="H163" s="4"/>
      <c r="I163" s="35"/>
      <c r="J163" s="4"/>
      <c r="K163" s="4"/>
      <c r="L163" s="61"/>
      <c r="M163" s="61"/>
      <c r="N163" s="60"/>
      <c r="O163" s="36"/>
      <c r="P163" s="4" t="str">
        <f t="shared" si="2"/>
        <v/>
      </c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3:26" x14ac:dyDescent="0.25">
      <c r="C164" s="4"/>
      <c r="D164" s="21"/>
      <c r="E164" s="4"/>
      <c r="F164" s="4"/>
      <c r="G164" s="4"/>
      <c r="H164" s="4"/>
      <c r="I164" s="35"/>
      <c r="J164" s="4"/>
      <c r="K164" s="4"/>
      <c r="L164" s="61"/>
      <c r="M164" s="61"/>
      <c r="N164" s="60"/>
      <c r="O164" s="36"/>
      <c r="P164" s="4" t="str">
        <f t="shared" si="2"/>
        <v/>
      </c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3:26" x14ac:dyDescent="0.25">
      <c r="C165" s="4"/>
      <c r="D165" s="21"/>
      <c r="E165" s="4"/>
      <c r="F165" s="4"/>
      <c r="G165" s="4"/>
      <c r="H165" s="4"/>
      <c r="I165" s="35"/>
      <c r="J165" s="4"/>
      <c r="K165" s="4"/>
      <c r="L165" s="61"/>
      <c r="M165" s="61"/>
      <c r="N165" s="60"/>
      <c r="O165" s="36"/>
      <c r="P165" s="4" t="str">
        <f t="shared" si="2"/>
        <v/>
      </c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3:26" x14ac:dyDescent="0.25">
      <c r="C166" s="4"/>
      <c r="D166" s="21"/>
      <c r="E166" s="4"/>
      <c r="F166" s="4"/>
      <c r="G166" s="4"/>
      <c r="H166" s="4"/>
      <c r="I166" s="35"/>
      <c r="J166" s="4"/>
      <c r="K166" s="4"/>
      <c r="L166" s="61"/>
      <c r="M166" s="61"/>
      <c r="N166" s="60"/>
      <c r="O166" s="36"/>
      <c r="P166" s="4" t="str">
        <f t="shared" si="2"/>
        <v/>
      </c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3:26" x14ac:dyDescent="0.25">
      <c r="C167" s="4"/>
      <c r="D167" s="21"/>
      <c r="E167" s="4"/>
      <c r="F167" s="4"/>
      <c r="G167" s="4"/>
      <c r="H167" s="4"/>
      <c r="I167" s="35"/>
      <c r="J167" s="4"/>
      <c r="K167" s="4"/>
      <c r="L167" s="61"/>
      <c r="M167" s="61"/>
      <c r="N167" s="60"/>
      <c r="O167" s="36"/>
      <c r="P167" s="4" t="str">
        <f t="shared" si="2"/>
        <v/>
      </c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3:26" x14ac:dyDescent="0.25">
      <c r="C168" s="4"/>
      <c r="D168" s="21"/>
      <c r="E168" s="4"/>
      <c r="F168" s="4"/>
      <c r="G168" s="4"/>
      <c r="H168" s="4"/>
      <c r="I168" s="35"/>
      <c r="J168" s="4"/>
      <c r="K168" s="4"/>
      <c r="L168" s="61"/>
      <c r="M168" s="61"/>
      <c r="N168" s="60"/>
      <c r="O168" s="36"/>
      <c r="P168" s="4" t="str">
        <f t="shared" si="2"/>
        <v/>
      </c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3:26" x14ac:dyDescent="0.25">
      <c r="C169" s="4"/>
      <c r="D169" s="21"/>
      <c r="E169" s="4"/>
      <c r="F169" s="4"/>
      <c r="G169" s="4"/>
      <c r="H169" s="4"/>
      <c r="I169" s="35"/>
      <c r="J169" s="4"/>
      <c r="K169" s="4"/>
      <c r="L169" s="61"/>
      <c r="M169" s="61"/>
      <c r="N169" s="60"/>
      <c r="O169" s="36"/>
      <c r="P169" s="4" t="str">
        <f t="shared" si="2"/>
        <v/>
      </c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3:26" x14ac:dyDescent="0.25">
      <c r="C170" s="4"/>
      <c r="D170" s="21"/>
      <c r="E170" s="4"/>
      <c r="F170" s="4"/>
      <c r="G170" s="4"/>
      <c r="H170" s="4"/>
      <c r="I170" s="35"/>
      <c r="J170" s="4"/>
      <c r="K170" s="4"/>
      <c r="L170" s="61"/>
      <c r="M170" s="61"/>
      <c r="N170" s="60"/>
      <c r="O170" s="36"/>
      <c r="P170" s="4" t="str">
        <f t="shared" si="2"/>
        <v/>
      </c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3:26" x14ac:dyDescent="0.25">
      <c r="C171" s="4"/>
      <c r="D171" s="21"/>
      <c r="E171" s="4"/>
      <c r="F171" s="4"/>
      <c r="G171" s="4"/>
      <c r="H171" s="4"/>
      <c r="I171" s="35"/>
      <c r="J171" s="4"/>
      <c r="K171" s="4"/>
      <c r="L171" s="61"/>
      <c r="M171" s="61"/>
      <c r="N171" s="60"/>
      <c r="O171" s="36"/>
      <c r="P171" s="4" t="str">
        <f t="shared" si="2"/>
        <v/>
      </c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3:26" x14ac:dyDescent="0.25">
      <c r="C172" s="4"/>
      <c r="D172" s="21"/>
      <c r="E172" s="4"/>
      <c r="F172" s="4"/>
      <c r="G172" s="4"/>
      <c r="H172" s="4"/>
      <c r="I172" s="35"/>
      <c r="J172" s="4"/>
      <c r="K172" s="4"/>
      <c r="L172" s="61"/>
      <c r="M172" s="61"/>
      <c r="N172" s="60"/>
      <c r="O172" s="36"/>
      <c r="P172" s="4" t="str">
        <f t="shared" si="2"/>
        <v/>
      </c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3:26" x14ac:dyDescent="0.25">
      <c r="C173" s="4"/>
      <c r="D173" s="21"/>
      <c r="E173" s="4"/>
      <c r="F173" s="4"/>
      <c r="G173" s="4"/>
      <c r="H173" s="4"/>
      <c r="I173" s="35"/>
      <c r="J173" s="4"/>
      <c r="K173" s="4"/>
      <c r="L173" s="61"/>
      <c r="M173" s="61"/>
      <c r="N173" s="60"/>
      <c r="O173" s="36"/>
      <c r="P173" s="4" t="str">
        <f t="shared" si="2"/>
        <v/>
      </c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3:26" x14ac:dyDescent="0.25">
      <c r="C174" s="4"/>
      <c r="D174" s="21"/>
      <c r="E174" s="4"/>
      <c r="F174" s="4"/>
      <c r="G174" s="4"/>
      <c r="H174" s="4"/>
      <c r="I174" s="35"/>
      <c r="J174" s="4"/>
      <c r="K174" s="4"/>
      <c r="L174" s="61"/>
      <c r="M174" s="61"/>
      <c r="N174" s="60"/>
      <c r="O174" s="36"/>
      <c r="P174" s="4" t="str">
        <f t="shared" si="2"/>
        <v/>
      </c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3:26" x14ac:dyDescent="0.25">
      <c r="C175" s="4"/>
      <c r="D175" s="21"/>
      <c r="E175" s="4"/>
      <c r="F175" s="4"/>
      <c r="G175" s="4"/>
      <c r="H175" s="4"/>
      <c r="I175" s="35"/>
      <c r="J175" s="4"/>
      <c r="K175" s="4"/>
      <c r="L175" s="61"/>
      <c r="M175" s="61"/>
      <c r="N175" s="60"/>
      <c r="O175" s="36"/>
      <c r="P175" s="4" t="str">
        <f t="shared" si="2"/>
        <v/>
      </c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3:26" x14ac:dyDescent="0.25">
      <c r="C176" s="4"/>
      <c r="D176" s="21"/>
      <c r="E176" s="4"/>
      <c r="F176" s="4"/>
      <c r="G176" s="4"/>
      <c r="H176" s="4"/>
      <c r="I176" s="35"/>
      <c r="J176" s="4"/>
      <c r="K176" s="4"/>
      <c r="L176" s="61"/>
      <c r="M176" s="61"/>
      <c r="N176" s="60"/>
      <c r="O176" s="36"/>
      <c r="P176" s="4" t="str">
        <f t="shared" si="2"/>
        <v/>
      </c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3:26" x14ac:dyDescent="0.25">
      <c r="C177" s="4"/>
      <c r="D177" s="21"/>
      <c r="E177" s="4"/>
      <c r="F177" s="4"/>
      <c r="G177" s="4"/>
      <c r="H177" s="4"/>
      <c r="I177" s="35"/>
      <c r="J177" s="4"/>
      <c r="K177" s="4"/>
      <c r="L177" s="61"/>
      <c r="M177" s="61"/>
      <c r="N177" s="60"/>
      <c r="O177" s="36"/>
      <c r="P177" s="4" t="str">
        <f t="shared" si="2"/>
        <v/>
      </c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3:26" x14ac:dyDescent="0.25">
      <c r="C178" s="4"/>
      <c r="D178" s="21"/>
      <c r="E178" s="4"/>
      <c r="F178" s="4"/>
      <c r="G178" s="4"/>
      <c r="H178" s="4"/>
      <c r="I178" s="35"/>
      <c r="J178" s="4"/>
      <c r="K178" s="4"/>
      <c r="L178" s="61"/>
      <c r="M178" s="61"/>
      <c r="N178" s="60"/>
      <c r="O178" s="36"/>
      <c r="P178" s="4" t="str">
        <f t="shared" si="2"/>
        <v/>
      </c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3:26" x14ac:dyDescent="0.25">
      <c r="C179" s="4"/>
      <c r="D179" s="21"/>
      <c r="E179" s="4"/>
      <c r="F179" s="4"/>
      <c r="G179" s="4"/>
      <c r="H179" s="4"/>
      <c r="I179" s="35"/>
      <c r="J179" s="4"/>
      <c r="K179" s="4"/>
      <c r="L179" s="61"/>
      <c r="M179" s="61"/>
      <c r="N179" s="60"/>
      <c r="O179" s="36"/>
      <c r="P179" s="4" t="str">
        <f t="shared" si="2"/>
        <v/>
      </c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3:26" x14ac:dyDescent="0.25">
      <c r="C180" s="4"/>
      <c r="D180" s="21"/>
      <c r="E180" s="4"/>
      <c r="F180" s="4"/>
      <c r="G180" s="4"/>
      <c r="H180" s="4"/>
      <c r="I180" s="35"/>
      <c r="J180" s="4"/>
      <c r="K180" s="4"/>
      <c r="L180" s="61"/>
      <c r="M180" s="61"/>
      <c r="N180" s="60"/>
      <c r="O180" s="36"/>
      <c r="P180" s="4" t="str">
        <f t="shared" si="2"/>
        <v/>
      </c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3:26" x14ac:dyDescent="0.25">
      <c r="C181" s="4"/>
      <c r="D181" s="21"/>
      <c r="E181" s="4"/>
      <c r="F181" s="4"/>
      <c r="G181" s="4"/>
      <c r="H181" s="4"/>
      <c r="I181" s="35"/>
      <c r="J181" s="4"/>
      <c r="K181" s="4"/>
      <c r="L181" s="61"/>
      <c r="M181" s="61"/>
      <c r="N181" s="60"/>
      <c r="O181" s="36"/>
      <c r="P181" s="4" t="str">
        <f t="shared" si="2"/>
        <v/>
      </c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3:26" x14ac:dyDescent="0.25">
      <c r="C182" s="4"/>
      <c r="D182" s="21"/>
      <c r="E182" s="4"/>
      <c r="F182" s="4"/>
      <c r="G182" s="4"/>
      <c r="H182" s="4"/>
      <c r="I182" s="35"/>
      <c r="J182" s="4"/>
      <c r="K182" s="4"/>
      <c r="L182" s="61"/>
      <c r="M182" s="61"/>
      <c r="N182" s="60"/>
      <c r="O182" s="36"/>
      <c r="P182" s="4" t="str">
        <f t="shared" si="2"/>
        <v/>
      </c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3:26" x14ac:dyDescent="0.25">
      <c r="C183" s="4"/>
      <c r="D183" s="21"/>
      <c r="E183" s="4"/>
      <c r="F183" s="4"/>
      <c r="G183" s="4"/>
      <c r="H183" s="4"/>
      <c r="I183" s="35"/>
      <c r="J183" s="4"/>
      <c r="K183" s="4"/>
      <c r="L183" s="61"/>
      <c r="M183" s="61"/>
      <c r="N183" s="60"/>
      <c r="O183" s="36"/>
      <c r="P183" s="4" t="str">
        <f t="shared" si="2"/>
        <v/>
      </c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3:26" x14ac:dyDescent="0.25">
      <c r="C184" s="4"/>
      <c r="D184" s="21"/>
      <c r="E184" s="4"/>
      <c r="F184" s="4"/>
      <c r="G184" s="4"/>
      <c r="H184" s="4"/>
      <c r="I184" s="35"/>
      <c r="J184" s="4"/>
      <c r="K184" s="4"/>
      <c r="L184" s="61"/>
      <c r="M184" s="61"/>
      <c r="N184" s="60"/>
      <c r="O184" s="36"/>
      <c r="P184" s="4" t="str">
        <f t="shared" si="2"/>
        <v/>
      </c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3:26" x14ac:dyDescent="0.25">
      <c r="C185" s="4"/>
      <c r="D185" s="21"/>
      <c r="E185" s="4"/>
      <c r="F185" s="4"/>
      <c r="G185" s="4"/>
      <c r="H185" s="4"/>
      <c r="I185" s="35"/>
      <c r="J185" s="4"/>
      <c r="K185" s="4"/>
      <c r="L185" s="61"/>
      <c r="M185" s="61"/>
      <c r="N185" s="60"/>
      <c r="O185" s="36"/>
      <c r="P185" s="4" t="str">
        <f t="shared" si="2"/>
        <v/>
      </c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3:26" x14ac:dyDescent="0.25">
      <c r="C186" s="4"/>
      <c r="D186" s="21"/>
      <c r="E186" s="4"/>
      <c r="F186" s="4"/>
      <c r="G186" s="4"/>
      <c r="H186" s="4"/>
      <c r="I186" s="35"/>
      <c r="J186" s="4"/>
      <c r="K186" s="4"/>
      <c r="L186" s="61"/>
      <c r="M186" s="61"/>
      <c r="N186" s="60"/>
      <c r="O186" s="36"/>
      <c r="P186" s="4" t="str">
        <f t="shared" si="2"/>
        <v/>
      </c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3:26" x14ac:dyDescent="0.25">
      <c r="C187" s="4"/>
      <c r="D187" s="21"/>
      <c r="E187" s="4"/>
      <c r="F187" s="4"/>
      <c r="G187" s="4"/>
      <c r="H187" s="4"/>
      <c r="I187" s="35"/>
      <c r="J187" s="4"/>
      <c r="K187" s="4"/>
      <c r="L187" s="61"/>
      <c r="M187" s="61"/>
      <c r="N187" s="60"/>
      <c r="O187" s="36"/>
      <c r="P187" s="4" t="str">
        <f t="shared" si="2"/>
        <v/>
      </c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3:26" x14ac:dyDescent="0.25">
      <c r="C188" s="4"/>
      <c r="D188" s="21"/>
      <c r="E188" s="4"/>
      <c r="F188" s="4"/>
      <c r="G188" s="4"/>
      <c r="H188" s="4"/>
      <c r="I188" s="35"/>
      <c r="J188" s="4"/>
      <c r="K188" s="4"/>
      <c r="L188" s="61"/>
      <c r="M188" s="61"/>
      <c r="N188" s="60"/>
      <c r="O188" s="36"/>
      <c r="P188" s="4" t="str">
        <f t="shared" si="2"/>
        <v/>
      </c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3:26" x14ac:dyDescent="0.25">
      <c r="C189" s="4"/>
      <c r="D189" s="21"/>
      <c r="E189" s="4"/>
      <c r="F189" s="4"/>
      <c r="G189" s="4"/>
      <c r="H189" s="4"/>
      <c r="I189" s="35"/>
      <c r="J189" s="4"/>
      <c r="K189" s="4"/>
      <c r="L189" s="61"/>
      <c r="M189" s="61"/>
      <c r="N189" s="60"/>
      <c r="O189" s="36"/>
      <c r="P189" s="4" t="str">
        <f t="shared" si="2"/>
        <v/>
      </c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3:26" x14ac:dyDescent="0.25">
      <c r="C190" s="4"/>
      <c r="D190" s="21"/>
      <c r="E190" s="4"/>
      <c r="F190" s="4"/>
      <c r="G190" s="4"/>
      <c r="H190" s="4"/>
      <c r="I190" s="35"/>
      <c r="J190" s="4"/>
      <c r="K190" s="4"/>
      <c r="L190" s="61"/>
      <c r="M190" s="61"/>
      <c r="N190" s="60"/>
      <c r="O190" s="36"/>
      <c r="P190" s="4" t="str">
        <f t="shared" si="2"/>
        <v/>
      </c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3:26" x14ac:dyDescent="0.25">
      <c r="C191" s="4"/>
      <c r="D191" s="21"/>
      <c r="E191" s="4"/>
      <c r="F191" s="4"/>
      <c r="G191" s="4"/>
      <c r="H191" s="4"/>
      <c r="I191" s="35"/>
      <c r="J191" s="4"/>
      <c r="K191" s="4"/>
      <c r="L191" s="61"/>
      <c r="M191" s="61"/>
      <c r="N191" s="60"/>
      <c r="O191" s="36"/>
      <c r="P191" s="4" t="str">
        <f t="shared" si="2"/>
        <v/>
      </c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3:26" x14ac:dyDescent="0.25">
      <c r="C192" s="4"/>
      <c r="D192" s="21"/>
      <c r="E192" s="4"/>
      <c r="F192" s="4"/>
      <c r="G192" s="4"/>
      <c r="H192" s="4"/>
      <c r="I192" s="35"/>
      <c r="J192" s="4"/>
      <c r="K192" s="4"/>
      <c r="L192" s="61"/>
      <c r="M192" s="61"/>
      <c r="N192" s="60"/>
      <c r="O192" s="36"/>
      <c r="P192" s="4" t="str">
        <f t="shared" si="2"/>
        <v/>
      </c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3:26" x14ac:dyDescent="0.25">
      <c r="C193" s="4"/>
      <c r="D193" s="21"/>
      <c r="E193" s="4"/>
      <c r="F193" s="4"/>
      <c r="G193" s="4"/>
      <c r="H193" s="4"/>
      <c r="I193" s="35"/>
      <c r="J193" s="4"/>
      <c r="K193" s="4"/>
      <c r="L193" s="61"/>
      <c r="M193" s="61"/>
      <c r="N193" s="60"/>
      <c r="O193" s="36"/>
      <c r="P193" s="4" t="str">
        <f t="shared" si="2"/>
        <v/>
      </c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3:26" x14ac:dyDescent="0.25">
      <c r="C194" s="4"/>
      <c r="D194" s="21"/>
      <c r="E194" s="4"/>
      <c r="F194" s="4"/>
      <c r="G194" s="4"/>
      <c r="H194" s="4"/>
      <c r="I194" s="35"/>
      <c r="J194" s="4"/>
      <c r="K194" s="4"/>
      <c r="L194" s="61"/>
      <c r="M194" s="61"/>
      <c r="N194" s="60"/>
      <c r="O194" s="36"/>
      <c r="P194" s="4" t="str">
        <f t="shared" si="2"/>
        <v/>
      </c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3:26" x14ac:dyDescent="0.25">
      <c r="C195" s="4"/>
      <c r="D195" s="21"/>
      <c r="E195" s="4"/>
      <c r="F195" s="4"/>
      <c r="G195" s="4"/>
      <c r="H195" s="4"/>
      <c r="I195" s="35"/>
      <c r="J195" s="4"/>
      <c r="K195" s="4"/>
      <c r="L195" s="61"/>
      <c r="M195" s="61"/>
      <c r="N195" s="60"/>
      <c r="O195" s="36"/>
      <c r="P195" s="4" t="str">
        <f t="shared" si="2"/>
        <v/>
      </c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3:26" x14ac:dyDescent="0.25">
      <c r="C196" s="4"/>
      <c r="D196" s="21"/>
      <c r="E196" s="4"/>
      <c r="F196" s="4"/>
      <c r="G196" s="4"/>
      <c r="H196" s="4"/>
      <c r="I196" s="35"/>
      <c r="J196" s="4"/>
      <c r="K196" s="4"/>
      <c r="L196" s="61"/>
      <c r="M196" s="61"/>
      <c r="N196" s="60"/>
      <c r="O196" s="36"/>
      <c r="P196" s="4" t="str">
        <f t="shared" si="2"/>
        <v/>
      </c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3:26" x14ac:dyDescent="0.25">
      <c r="C197" s="4"/>
      <c r="D197" s="21"/>
      <c r="E197" s="4"/>
      <c r="F197" s="4"/>
      <c r="G197" s="4"/>
      <c r="H197" s="4"/>
      <c r="I197" s="35"/>
      <c r="J197" s="4"/>
      <c r="K197" s="4"/>
      <c r="L197" s="61"/>
      <c r="M197" s="61"/>
      <c r="N197" s="60"/>
      <c r="O197" s="36"/>
      <c r="P197" s="4" t="str">
        <f t="shared" si="2"/>
        <v/>
      </c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3:26" x14ac:dyDescent="0.25">
      <c r="C198" s="4"/>
      <c r="D198" s="4"/>
      <c r="E198" s="4"/>
      <c r="F198" s="4"/>
      <c r="G198" s="4"/>
      <c r="H198" s="4"/>
      <c r="I198" s="35"/>
      <c r="J198" s="4"/>
      <c r="K198" s="4"/>
      <c r="L198" s="61"/>
      <c r="M198" s="61"/>
      <c r="N198" s="61"/>
      <c r="O198" s="36"/>
      <c r="P198" s="4" t="str">
        <f t="shared" si="2"/>
        <v/>
      </c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3:26" x14ac:dyDescent="0.25">
      <c r="C199" s="4"/>
      <c r="D199" s="4"/>
      <c r="E199" s="4"/>
      <c r="F199" s="4"/>
      <c r="G199" s="4"/>
      <c r="H199" s="4"/>
      <c r="I199" s="35"/>
      <c r="J199" s="4"/>
      <c r="K199" s="4"/>
      <c r="L199" s="61"/>
      <c r="M199" s="61"/>
      <c r="N199" s="61"/>
      <c r="O199" s="36"/>
      <c r="P199" s="4" t="str">
        <f t="shared" ref="P199:P262" si="3">IF(I199="","",SUMIFS(OrderItems_Qty,OrderItems_Type,"PURCHASE",OrderItems_SKU,I199)-SUMIFS(OrderItems_Qty,OrderItems_Type,"SALE",OrderItems_SKU,I199))</f>
        <v/>
      </c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3:26" x14ac:dyDescent="0.25">
      <c r="C200" s="4"/>
      <c r="D200" s="4"/>
      <c r="E200" s="4"/>
      <c r="F200" s="4"/>
      <c r="G200" s="4"/>
      <c r="H200" s="4"/>
      <c r="I200" s="35"/>
      <c r="J200" s="4"/>
      <c r="K200" s="4"/>
      <c r="L200" s="61"/>
      <c r="M200" s="61"/>
      <c r="N200" s="61"/>
      <c r="O200" s="36"/>
      <c r="P200" s="4" t="str">
        <f t="shared" si="3"/>
        <v/>
      </c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3:26" x14ac:dyDescent="0.25">
      <c r="C201" s="4"/>
      <c r="D201" s="4"/>
      <c r="E201" s="4"/>
      <c r="F201" s="4"/>
      <c r="G201" s="4"/>
      <c r="H201" s="4"/>
      <c r="I201" s="35"/>
      <c r="J201" s="4"/>
      <c r="K201" s="4"/>
      <c r="L201" s="61"/>
      <c r="M201" s="61"/>
      <c r="N201" s="61"/>
      <c r="O201" s="36"/>
      <c r="P201" s="4" t="str">
        <f t="shared" si="3"/>
        <v/>
      </c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3:26" x14ac:dyDescent="0.25">
      <c r="C202" s="4"/>
      <c r="D202" s="4"/>
      <c r="E202" s="4"/>
      <c r="F202" s="4"/>
      <c r="G202" s="4"/>
      <c r="H202" s="4"/>
      <c r="I202" s="35"/>
      <c r="J202" s="4"/>
      <c r="K202" s="4"/>
      <c r="L202" s="61"/>
      <c r="M202" s="61"/>
      <c r="N202" s="61"/>
      <c r="O202" s="36"/>
      <c r="P202" s="4" t="str">
        <f t="shared" si="3"/>
        <v/>
      </c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3:26" x14ac:dyDescent="0.25">
      <c r="C203" s="4"/>
      <c r="D203" s="4"/>
      <c r="E203" s="4"/>
      <c r="F203" s="4"/>
      <c r="G203" s="4"/>
      <c r="H203" s="4"/>
      <c r="I203" s="35"/>
      <c r="J203" s="4"/>
      <c r="K203" s="4"/>
      <c r="L203" s="61"/>
      <c r="M203" s="61"/>
      <c r="N203" s="61"/>
      <c r="O203" s="36"/>
      <c r="P203" s="4" t="str">
        <f t="shared" si="3"/>
        <v/>
      </c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3:26" x14ac:dyDescent="0.25">
      <c r="C204" s="4"/>
      <c r="D204" s="4"/>
      <c r="E204" s="4"/>
      <c r="F204" s="4"/>
      <c r="G204" s="4"/>
      <c r="H204" s="4"/>
      <c r="I204" s="35"/>
      <c r="J204" s="4"/>
      <c r="K204" s="4"/>
      <c r="L204" s="61"/>
      <c r="M204" s="61"/>
      <c r="N204" s="61"/>
      <c r="O204" s="36"/>
      <c r="P204" s="4" t="str">
        <f t="shared" si="3"/>
        <v/>
      </c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3:26" x14ac:dyDescent="0.25">
      <c r="C205" s="4"/>
      <c r="D205" s="4"/>
      <c r="E205" s="4"/>
      <c r="F205" s="4"/>
      <c r="G205" s="4"/>
      <c r="H205" s="4"/>
      <c r="I205" s="35"/>
      <c r="J205" s="4"/>
      <c r="K205" s="4"/>
      <c r="L205" s="61"/>
      <c r="M205" s="61"/>
      <c r="N205" s="61"/>
      <c r="O205" s="36"/>
      <c r="P205" s="4" t="str">
        <f t="shared" si="3"/>
        <v/>
      </c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3:26" x14ac:dyDescent="0.25">
      <c r="C206" s="4"/>
      <c r="D206" s="4"/>
      <c r="E206" s="4"/>
      <c r="F206" s="4"/>
      <c r="G206" s="4"/>
      <c r="H206" s="4"/>
      <c r="I206" s="35"/>
      <c r="J206" s="4"/>
      <c r="K206" s="4"/>
      <c r="L206" s="61"/>
      <c r="M206" s="61"/>
      <c r="N206" s="61"/>
      <c r="O206" s="36"/>
      <c r="P206" s="4" t="str">
        <f t="shared" si="3"/>
        <v/>
      </c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3:26" x14ac:dyDescent="0.25">
      <c r="C207" s="4"/>
      <c r="D207" s="4"/>
      <c r="E207" s="4"/>
      <c r="F207" s="4"/>
      <c r="G207" s="4"/>
      <c r="H207" s="4"/>
      <c r="I207" s="35"/>
      <c r="J207" s="4"/>
      <c r="K207" s="4"/>
      <c r="L207" s="61"/>
      <c r="M207" s="61"/>
      <c r="N207" s="61"/>
      <c r="O207" s="36"/>
      <c r="P207" s="4" t="str">
        <f t="shared" si="3"/>
        <v/>
      </c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3:26" x14ac:dyDescent="0.25">
      <c r="C208" s="4"/>
      <c r="D208" s="4"/>
      <c r="E208" s="4"/>
      <c r="F208" s="4"/>
      <c r="G208" s="4"/>
      <c r="H208" s="4"/>
      <c r="I208" s="35"/>
      <c r="J208" s="4"/>
      <c r="K208" s="4"/>
      <c r="L208" s="61"/>
      <c r="M208" s="61"/>
      <c r="N208" s="61"/>
      <c r="O208" s="36"/>
      <c r="P208" s="4" t="str">
        <f t="shared" si="3"/>
        <v/>
      </c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3:26" x14ac:dyDescent="0.25">
      <c r="C209" s="4"/>
      <c r="D209" s="4"/>
      <c r="E209" s="4"/>
      <c r="F209" s="4"/>
      <c r="G209" s="4"/>
      <c r="H209" s="4"/>
      <c r="I209" s="35"/>
      <c r="J209" s="4"/>
      <c r="K209" s="4"/>
      <c r="L209" s="61"/>
      <c r="M209" s="61"/>
      <c r="N209" s="61"/>
      <c r="O209" s="36"/>
      <c r="P209" s="4" t="str">
        <f t="shared" si="3"/>
        <v/>
      </c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3:26" x14ac:dyDescent="0.25">
      <c r="C210" s="4"/>
      <c r="D210" s="4"/>
      <c r="E210" s="4"/>
      <c r="F210" s="4"/>
      <c r="G210" s="4"/>
      <c r="H210" s="4"/>
      <c r="I210" s="35"/>
      <c r="J210" s="4"/>
      <c r="K210" s="4"/>
      <c r="L210" s="61"/>
      <c r="M210" s="61"/>
      <c r="N210" s="61"/>
      <c r="O210" s="36"/>
      <c r="P210" s="4" t="str">
        <f t="shared" si="3"/>
        <v/>
      </c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3:26" x14ac:dyDescent="0.25">
      <c r="C211" s="4"/>
      <c r="D211" s="4"/>
      <c r="E211" s="4"/>
      <c r="F211" s="4"/>
      <c r="G211" s="4"/>
      <c r="H211" s="4"/>
      <c r="I211" s="35"/>
      <c r="J211" s="4"/>
      <c r="K211" s="4"/>
      <c r="L211" s="61"/>
      <c r="M211" s="61"/>
      <c r="N211" s="61"/>
      <c r="O211" s="36"/>
      <c r="P211" s="4" t="str">
        <f t="shared" si="3"/>
        <v/>
      </c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3:26" x14ac:dyDescent="0.25">
      <c r="C212" s="4"/>
      <c r="D212" s="4"/>
      <c r="E212" s="4"/>
      <c r="F212" s="4"/>
      <c r="G212" s="4"/>
      <c r="H212" s="4"/>
      <c r="I212" s="35"/>
      <c r="J212" s="4"/>
      <c r="K212" s="4"/>
      <c r="L212" s="61"/>
      <c r="M212" s="61"/>
      <c r="N212" s="61"/>
      <c r="O212" s="36"/>
      <c r="P212" s="4" t="str">
        <f t="shared" si="3"/>
        <v/>
      </c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3:26" x14ac:dyDescent="0.25">
      <c r="C213" s="4"/>
      <c r="D213" s="4"/>
      <c r="E213" s="4"/>
      <c r="F213" s="4"/>
      <c r="G213" s="4"/>
      <c r="H213" s="4"/>
      <c r="I213" s="35"/>
      <c r="J213" s="4"/>
      <c r="K213" s="4"/>
      <c r="L213" s="61"/>
      <c r="M213" s="61"/>
      <c r="N213" s="61"/>
      <c r="O213" s="36"/>
      <c r="P213" s="4" t="str">
        <f t="shared" si="3"/>
        <v/>
      </c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3:26" x14ac:dyDescent="0.25">
      <c r="C214" s="4"/>
      <c r="D214" s="4"/>
      <c r="E214" s="4"/>
      <c r="F214" s="4"/>
      <c r="G214" s="4"/>
      <c r="H214" s="4"/>
      <c r="I214" s="35"/>
      <c r="J214" s="4"/>
      <c r="K214" s="4"/>
      <c r="L214" s="61"/>
      <c r="M214" s="61"/>
      <c r="N214" s="61"/>
      <c r="O214" s="36"/>
      <c r="P214" s="4" t="str">
        <f t="shared" si="3"/>
        <v/>
      </c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3:26" x14ac:dyDescent="0.25">
      <c r="C215" s="4"/>
      <c r="D215" s="4"/>
      <c r="E215" s="4"/>
      <c r="F215" s="4"/>
      <c r="G215" s="4"/>
      <c r="H215" s="4"/>
      <c r="I215" s="35"/>
      <c r="J215" s="4"/>
      <c r="K215" s="4"/>
      <c r="L215" s="61"/>
      <c r="M215" s="61"/>
      <c r="N215" s="61"/>
      <c r="O215" s="36"/>
      <c r="P215" s="4" t="str">
        <f t="shared" si="3"/>
        <v/>
      </c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3:26" x14ac:dyDescent="0.25">
      <c r="C216" s="4"/>
      <c r="D216" s="4"/>
      <c r="E216" s="4"/>
      <c r="F216" s="4"/>
      <c r="G216" s="4"/>
      <c r="H216" s="4"/>
      <c r="I216" s="35"/>
      <c r="J216" s="4"/>
      <c r="K216" s="4"/>
      <c r="L216" s="61"/>
      <c r="M216" s="61"/>
      <c r="N216" s="61"/>
      <c r="O216" s="36"/>
      <c r="P216" s="4" t="str">
        <f t="shared" si="3"/>
        <v/>
      </c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3:26" x14ac:dyDescent="0.25">
      <c r="C217" s="4"/>
      <c r="D217" s="4"/>
      <c r="E217" s="4"/>
      <c r="F217" s="4"/>
      <c r="G217" s="4"/>
      <c r="H217" s="4"/>
      <c r="I217" s="35"/>
      <c r="J217" s="4"/>
      <c r="K217" s="4"/>
      <c r="L217" s="61"/>
      <c r="M217" s="61"/>
      <c r="N217" s="61"/>
      <c r="O217" s="36"/>
      <c r="P217" s="4" t="str">
        <f t="shared" si="3"/>
        <v/>
      </c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3:26" x14ac:dyDescent="0.25">
      <c r="C218" s="4"/>
      <c r="D218" s="4"/>
      <c r="E218" s="4"/>
      <c r="F218" s="4"/>
      <c r="G218" s="4"/>
      <c r="H218" s="4"/>
      <c r="I218" s="35"/>
      <c r="J218" s="4"/>
      <c r="K218" s="4"/>
      <c r="L218" s="61"/>
      <c r="M218" s="61"/>
      <c r="N218" s="61"/>
      <c r="O218" s="36"/>
      <c r="P218" s="4" t="str">
        <f t="shared" si="3"/>
        <v/>
      </c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3:26" x14ac:dyDescent="0.25">
      <c r="C219" s="4"/>
      <c r="D219" s="4"/>
      <c r="E219" s="4"/>
      <c r="F219" s="4"/>
      <c r="G219" s="4"/>
      <c r="H219" s="4"/>
      <c r="I219" s="35"/>
      <c r="J219" s="4"/>
      <c r="K219" s="4"/>
      <c r="L219" s="61"/>
      <c r="M219" s="61"/>
      <c r="N219" s="61"/>
      <c r="O219" s="36"/>
      <c r="P219" s="4" t="str">
        <f t="shared" si="3"/>
        <v/>
      </c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3:26" x14ac:dyDescent="0.25">
      <c r="C220" s="4"/>
      <c r="D220" s="4"/>
      <c r="E220" s="4"/>
      <c r="F220" s="4"/>
      <c r="G220" s="4"/>
      <c r="H220" s="4"/>
      <c r="I220" s="35"/>
      <c r="J220" s="4"/>
      <c r="K220" s="4"/>
      <c r="L220" s="61"/>
      <c r="M220" s="61"/>
      <c r="N220" s="61"/>
      <c r="O220" s="36"/>
      <c r="P220" s="4" t="str">
        <f t="shared" si="3"/>
        <v/>
      </c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3:26" x14ac:dyDescent="0.25">
      <c r="C221" s="4"/>
      <c r="D221" s="4"/>
      <c r="E221" s="4"/>
      <c r="F221" s="4"/>
      <c r="G221" s="4"/>
      <c r="H221" s="4"/>
      <c r="I221" s="35"/>
      <c r="J221" s="4"/>
      <c r="K221" s="4"/>
      <c r="L221" s="61"/>
      <c r="M221" s="61"/>
      <c r="N221" s="61"/>
      <c r="O221" s="36"/>
      <c r="P221" s="4" t="str">
        <f t="shared" si="3"/>
        <v/>
      </c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3:26" x14ac:dyDescent="0.25">
      <c r="C222" s="4"/>
      <c r="D222" s="4"/>
      <c r="E222" s="4"/>
      <c r="F222" s="4"/>
      <c r="G222" s="4"/>
      <c r="H222" s="4"/>
      <c r="I222" s="35"/>
      <c r="J222" s="4"/>
      <c r="K222" s="4"/>
      <c r="L222" s="61"/>
      <c r="M222" s="61"/>
      <c r="N222" s="61"/>
      <c r="O222" s="36"/>
      <c r="P222" s="4" t="str">
        <f t="shared" si="3"/>
        <v/>
      </c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3:26" x14ac:dyDescent="0.25">
      <c r="C223" s="4"/>
      <c r="D223" s="4"/>
      <c r="E223" s="4"/>
      <c r="F223" s="4"/>
      <c r="G223" s="4"/>
      <c r="H223" s="4"/>
      <c r="I223" s="35"/>
      <c r="J223" s="4"/>
      <c r="K223" s="4"/>
      <c r="L223" s="61"/>
      <c r="M223" s="61"/>
      <c r="N223" s="61"/>
      <c r="O223" s="36"/>
      <c r="P223" s="4" t="str">
        <f t="shared" si="3"/>
        <v/>
      </c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3:26" x14ac:dyDescent="0.25">
      <c r="C224" s="4"/>
      <c r="D224" s="4"/>
      <c r="E224" s="4"/>
      <c r="F224" s="4"/>
      <c r="G224" s="4"/>
      <c r="H224" s="4"/>
      <c r="I224" s="35"/>
      <c r="J224" s="4"/>
      <c r="K224" s="4"/>
      <c r="L224" s="61"/>
      <c r="M224" s="61"/>
      <c r="N224" s="61"/>
      <c r="O224" s="36"/>
      <c r="P224" s="4" t="str">
        <f t="shared" si="3"/>
        <v/>
      </c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3:26" x14ac:dyDescent="0.25">
      <c r="C225" s="4"/>
      <c r="D225" s="4"/>
      <c r="E225" s="4"/>
      <c r="F225" s="4"/>
      <c r="G225" s="4"/>
      <c r="H225" s="4"/>
      <c r="I225" s="35"/>
      <c r="J225" s="4"/>
      <c r="K225" s="4"/>
      <c r="L225" s="61"/>
      <c r="M225" s="61"/>
      <c r="N225" s="61"/>
      <c r="O225" s="36"/>
      <c r="P225" s="4" t="str">
        <f t="shared" si="3"/>
        <v/>
      </c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3:26" x14ac:dyDescent="0.25">
      <c r="C226" s="4"/>
      <c r="D226" s="4"/>
      <c r="E226" s="4"/>
      <c r="F226" s="4"/>
      <c r="G226" s="4"/>
      <c r="H226" s="4"/>
      <c r="I226" s="35"/>
      <c r="J226" s="4"/>
      <c r="K226" s="4"/>
      <c r="L226" s="61"/>
      <c r="M226" s="61"/>
      <c r="N226" s="61"/>
      <c r="O226" s="36"/>
      <c r="P226" s="4" t="str">
        <f t="shared" si="3"/>
        <v/>
      </c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3:26" x14ac:dyDescent="0.25">
      <c r="C227" s="4"/>
      <c r="D227" s="4"/>
      <c r="E227" s="4"/>
      <c r="F227" s="4"/>
      <c r="G227" s="4"/>
      <c r="H227" s="4"/>
      <c r="I227" s="35"/>
      <c r="J227" s="4"/>
      <c r="K227" s="4"/>
      <c r="L227" s="61"/>
      <c r="M227" s="61"/>
      <c r="N227" s="61"/>
      <c r="O227" s="36"/>
      <c r="P227" s="4" t="str">
        <f t="shared" si="3"/>
        <v/>
      </c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3:26" x14ac:dyDescent="0.25">
      <c r="C228" s="4"/>
      <c r="D228" s="4"/>
      <c r="E228" s="4"/>
      <c r="F228" s="4"/>
      <c r="G228" s="4"/>
      <c r="H228" s="4"/>
      <c r="I228" s="35"/>
      <c r="J228" s="4"/>
      <c r="K228" s="4"/>
      <c r="L228" s="61"/>
      <c r="M228" s="61"/>
      <c r="N228" s="61"/>
      <c r="O228" s="36"/>
      <c r="P228" s="4" t="str">
        <f t="shared" si="3"/>
        <v/>
      </c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3:26" x14ac:dyDescent="0.25">
      <c r="C229" s="4"/>
      <c r="D229" s="4"/>
      <c r="E229" s="4"/>
      <c r="F229" s="4"/>
      <c r="G229" s="4"/>
      <c r="H229" s="4"/>
      <c r="I229" s="35"/>
      <c r="J229" s="4"/>
      <c r="K229" s="4"/>
      <c r="L229" s="61"/>
      <c r="M229" s="61"/>
      <c r="N229" s="61"/>
      <c r="O229" s="36"/>
      <c r="P229" s="4" t="str">
        <f t="shared" si="3"/>
        <v/>
      </c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3:26" x14ac:dyDescent="0.25">
      <c r="C230" s="4"/>
      <c r="D230" s="4"/>
      <c r="E230" s="4"/>
      <c r="F230" s="4"/>
      <c r="G230" s="4"/>
      <c r="H230" s="4"/>
      <c r="I230" s="35"/>
      <c r="J230" s="4"/>
      <c r="K230" s="4"/>
      <c r="L230" s="61"/>
      <c r="M230" s="61"/>
      <c r="N230" s="61"/>
      <c r="O230" s="36"/>
      <c r="P230" s="4" t="str">
        <f t="shared" si="3"/>
        <v/>
      </c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3:26" x14ac:dyDescent="0.25">
      <c r="C231" s="4"/>
      <c r="D231" s="4"/>
      <c r="E231" s="4"/>
      <c r="F231" s="4"/>
      <c r="G231" s="4"/>
      <c r="H231" s="4"/>
      <c r="I231" s="35"/>
      <c r="J231" s="4"/>
      <c r="K231" s="4"/>
      <c r="L231" s="61"/>
      <c r="M231" s="61"/>
      <c r="N231" s="61"/>
      <c r="O231" s="36"/>
      <c r="P231" s="4" t="str">
        <f t="shared" si="3"/>
        <v/>
      </c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3:26" x14ac:dyDescent="0.25">
      <c r="C232" s="4"/>
      <c r="D232" s="4"/>
      <c r="E232" s="4"/>
      <c r="F232" s="4"/>
      <c r="G232" s="4"/>
      <c r="H232" s="4"/>
      <c r="I232" s="35"/>
      <c r="J232" s="4"/>
      <c r="K232" s="4"/>
      <c r="L232" s="61"/>
      <c r="M232" s="61"/>
      <c r="N232" s="61"/>
      <c r="O232" s="36"/>
      <c r="P232" s="4" t="str">
        <f t="shared" si="3"/>
        <v/>
      </c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3:26" x14ac:dyDescent="0.25">
      <c r="C233" s="4"/>
      <c r="D233" s="4"/>
      <c r="E233" s="4"/>
      <c r="F233" s="4"/>
      <c r="G233" s="4"/>
      <c r="H233" s="4"/>
      <c r="I233" s="35"/>
      <c r="J233" s="4"/>
      <c r="K233" s="4"/>
      <c r="L233" s="61"/>
      <c r="M233" s="61"/>
      <c r="N233" s="61"/>
      <c r="O233" s="36"/>
      <c r="P233" s="4" t="str">
        <f t="shared" si="3"/>
        <v/>
      </c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3:26" x14ac:dyDescent="0.25">
      <c r="C234" s="4"/>
      <c r="D234" s="4"/>
      <c r="E234" s="4"/>
      <c r="F234" s="4"/>
      <c r="G234" s="4"/>
      <c r="H234" s="4"/>
      <c r="I234" s="35"/>
      <c r="J234" s="4"/>
      <c r="K234" s="4"/>
      <c r="L234" s="61"/>
      <c r="M234" s="61"/>
      <c r="N234" s="61"/>
      <c r="O234" s="36"/>
      <c r="P234" s="4" t="str">
        <f t="shared" si="3"/>
        <v/>
      </c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3:26" x14ac:dyDescent="0.25">
      <c r="C235" s="4"/>
      <c r="D235" s="4"/>
      <c r="E235" s="4"/>
      <c r="F235" s="4"/>
      <c r="G235" s="4"/>
      <c r="H235" s="4"/>
      <c r="I235" s="35"/>
      <c r="J235" s="4"/>
      <c r="K235" s="4"/>
      <c r="L235" s="61"/>
      <c r="M235" s="61"/>
      <c r="N235" s="61"/>
      <c r="O235" s="36"/>
      <c r="P235" s="4" t="str">
        <f t="shared" si="3"/>
        <v/>
      </c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3:26" x14ac:dyDescent="0.25">
      <c r="C236" s="4"/>
      <c r="D236" s="4"/>
      <c r="E236" s="4"/>
      <c r="F236" s="4"/>
      <c r="G236" s="4"/>
      <c r="H236" s="4"/>
      <c r="I236" s="35"/>
      <c r="J236" s="4"/>
      <c r="K236" s="4"/>
      <c r="L236" s="61"/>
      <c r="M236" s="61"/>
      <c r="N236" s="61"/>
      <c r="O236" s="36"/>
      <c r="P236" s="4" t="str">
        <f t="shared" si="3"/>
        <v/>
      </c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3:26" x14ac:dyDescent="0.25">
      <c r="C237" s="4"/>
      <c r="D237" s="4"/>
      <c r="E237" s="4"/>
      <c r="F237" s="4"/>
      <c r="G237" s="4"/>
      <c r="H237" s="4"/>
      <c r="I237" s="35"/>
      <c r="J237" s="4"/>
      <c r="K237" s="4"/>
      <c r="L237" s="61"/>
      <c r="M237" s="61"/>
      <c r="N237" s="61"/>
      <c r="O237" s="36"/>
      <c r="P237" s="4" t="str">
        <f t="shared" si="3"/>
        <v/>
      </c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3:26" x14ac:dyDescent="0.25">
      <c r="C238" s="4"/>
      <c r="D238" s="4"/>
      <c r="E238" s="4"/>
      <c r="F238" s="4"/>
      <c r="G238" s="4"/>
      <c r="H238" s="4"/>
      <c r="I238" s="35"/>
      <c r="J238" s="4"/>
      <c r="K238" s="4"/>
      <c r="L238" s="61"/>
      <c r="M238" s="61"/>
      <c r="N238" s="61"/>
      <c r="O238" s="36"/>
      <c r="P238" s="4" t="str">
        <f t="shared" si="3"/>
        <v/>
      </c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3:26" x14ac:dyDescent="0.25">
      <c r="C239" s="4"/>
      <c r="D239" s="4"/>
      <c r="E239" s="4"/>
      <c r="F239" s="4"/>
      <c r="G239" s="4"/>
      <c r="H239" s="4"/>
      <c r="I239" s="35"/>
      <c r="J239" s="4"/>
      <c r="K239" s="4"/>
      <c r="L239" s="61"/>
      <c r="M239" s="61"/>
      <c r="N239" s="61"/>
      <c r="O239" s="36"/>
      <c r="P239" s="4" t="str">
        <f t="shared" si="3"/>
        <v/>
      </c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3:26" x14ac:dyDescent="0.25">
      <c r="C240" s="4"/>
      <c r="D240" s="4"/>
      <c r="E240" s="4"/>
      <c r="F240" s="4"/>
      <c r="G240" s="4"/>
      <c r="H240" s="4"/>
      <c r="I240" s="35"/>
      <c r="J240" s="4"/>
      <c r="K240" s="4"/>
      <c r="L240" s="61"/>
      <c r="M240" s="61"/>
      <c r="N240" s="61"/>
      <c r="O240" s="36"/>
      <c r="P240" s="4" t="str">
        <f t="shared" si="3"/>
        <v/>
      </c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3:26" x14ac:dyDescent="0.25">
      <c r="C241" s="4"/>
      <c r="D241" s="4"/>
      <c r="E241" s="4"/>
      <c r="F241" s="4"/>
      <c r="G241" s="4"/>
      <c r="H241" s="4"/>
      <c r="I241" s="35"/>
      <c r="J241" s="4"/>
      <c r="K241" s="4"/>
      <c r="L241" s="61"/>
      <c r="M241" s="61"/>
      <c r="N241" s="61"/>
      <c r="O241" s="36"/>
      <c r="P241" s="4" t="str">
        <f t="shared" si="3"/>
        <v/>
      </c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3:26" x14ac:dyDescent="0.25">
      <c r="C242" s="4"/>
      <c r="D242" s="4"/>
      <c r="E242" s="4"/>
      <c r="F242" s="4"/>
      <c r="G242" s="4"/>
      <c r="H242" s="4"/>
      <c r="I242" s="35"/>
      <c r="J242" s="4"/>
      <c r="K242" s="4"/>
      <c r="L242" s="61"/>
      <c r="M242" s="61"/>
      <c r="N242" s="61"/>
      <c r="O242" s="36"/>
      <c r="P242" s="4" t="str">
        <f t="shared" si="3"/>
        <v/>
      </c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3:26" x14ac:dyDescent="0.25">
      <c r="C243" s="4"/>
      <c r="D243" s="4"/>
      <c r="E243" s="4"/>
      <c r="F243" s="4"/>
      <c r="G243" s="4"/>
      <c r="H243" s="4"/>
      <c r="I243" s="35"/>
      <c r="J243" s="4"/>
      <c r="K243" s="4"/>
      <c r="L243" s="61"/>
      <c r="M243" s="61"/>
      <c r="N243" s="61"/>
      <c r="O243" s="36"/>
      <c r="P243" s="4" t="str">
        <f t="shared" si="3"/>
        <v/>
      </c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3:26" x14ac:dyDescent="0.25">
      <c r="C244" s="4"/>
      <c r="D244" s="4"/>
      <c r="E244" s="4"/>
      <c r="F244" s="4"/>
      <c r="G244" s="4"/>
      <c r="H244" s="4"/>
      <c r="I244" s="35"/>
      <c r="J244" s="4"/>
      <c r="K244" s="4"/>
      <c r="L244" s="61"/>
      <c r="M244" s="61"/>
      <c r="N244" s="61"/>
      <c r="O244" s="36"/>
      <c r="P244" s="4" t="str">
        <f t="shared" si="3"/>
        <v/>
      </c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3:26" x14ac:dyDescent="0.25">
      <c r="C245" s="4"/>
      <c r="D245" s="4"/>
      <c r="E245" s="4"/>
      <c r="F245" s="4"/>
      <c r="G245" s="4"/>
      <c r="H245" s="4"/>
      <c r="I245" s="35"/>
      <c r="J245" s="4"/>
      <c r="K245" s="4"/>
      <c r="L245" s="61"/>
      <c r="M245" s="61"/>
      <c r="N245" s="61"/>
      <c r="O245" s="36"/>
      <c r="P245" s="4" t="str">
        <f t="shared" si="3"/>
        <v/>
      </c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3:26" x14ac:dyDescent="0.25">
      <c r="C246" s="4"/>
      <c r="D246" s="4"/>
      <c r="E246" s="4"/>
      <c r="F246" s="4"/>
      <c r="G246" s="4"/>
      <c r="H246" s="4"/>
      <c r="I246" s="35"/>
      <c r="J246" s="4"/>
      <c r="K246" s="4"/>
      <c r="L246" s="61"/>
      <c r="M246" s="61"/>
      <c r="N246" s="61"/>
      <c r="O246" s="36"/>
      <c r="P246" s="4" t="str">
        <f t="shared" si="3"/>
        <v/>
      </c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3:26" x14ac:dyDescent="0.25">
      <c r="C247" s="4"/>
      <c r="D247" s="4"/>
      <c r="E247" s="4"/>
      <c r="F247" s="4"/>
      <c r="G247" s="4"/>
      <c r="H247" s="4"/>
      <c r="I247" s="35"/>
      <c r="J247" s="4"/>
      <c r="K247" s="4"/>
      <c r="L247" s="61"/>
      <c r="M247" s="61"/>
      <c r="N247" s="61"/>
      <c r="O247" s="36"/>
      <c r="P247" s="4" t="str">
        <f t="shared" si="3"/>
        <v/>
      </c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3:26" x14ac:dyDescent="0.25">
      <c r="C248" s="4"/>
      <c r="D248" s="4"/>
      <c r="E248" s="4"/>
      <c r="F248" s="4"/>
      <c r="G248" s="4"/>
      <c r="H248" s="4"/>
      <c r="I248" s="35"/>
      <c r="J248" s="4"/>
      <c r="K248" s="4"/>
      <c r="L248" s="61"/>
      <c r="M248" s="61"/>
      <c r="N248" s="61"/>
      <c r="O248" s="36"/>
      <c r="P248" s="4" t="str">
        <f t="shared" si="3"/>
        <v/>
      </c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3:26" x14ac:dyDescent="0.25">
      <c r="C249" s="4"/>
      <c r="D249" s="4"/>
      <c r="E249" s="4"/>
      <c r="F249" s="4"/>
      <c r="G249" s="4"/>
      <c r="H249" s="4"/>
      <c r="I249" s="35"/>
      <c r="J249" s="4"/>
      <c r="K249" s="4"/>
      <c r="L249" s="61"/>
      <c r="M249" s="61"/>
      <c r="N249" s="61"/>
      <c r="O249" s="36"/>
      <c r="P249" s="4" t="str">
        <f t="shared" si="3"/>
        <v/>
      </c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3:26" x14ac:dyDescent="0.25">
      <c r="C250" s="4"/>
      <c r="D250" s="4"/>
      <c r="E250" s="4"/>
      <c r="F250" s="4"/>
      <c r="G250" s="4"/>
      <c r="H250" s="4"/>
      <c r="I250" s="35"/>
      <c r="J250" s="4"/>
      <c r="K250" s="4"/>
      <c r="L250" s="61"/>
      <c r="M250" s="61"/>
      <c r="N250" s="61"/>
      <c r="O250" s="36"/>
      <c r="P250" s="4" t="str">
        <f t="shared" si="3"/>
        <v/>
      </c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3:26" x14ac:dyDescent="0.25">
      <c r="C251" s="4"/>
      <c r="D251" s="4"/>
      <c r="E251" s="4"/>
      <c r="F251" s="4"/>
      <c r="G251" s="4"/>
      <c r="H251" s="4"/>
      <c r="I251" s="35"/>
      <c r="J251" s="4"/>
      <c r="K251" s="4"/>
      <c r="L251" s="61"/>
      <c r="M251" s="61"/>
      <c r="N251" s="61"/>
      <c r="O251" s="36"/>
      <c r="P251" s="4" t="str">
        <f t="shared" si="3"/>
        <v/>
      </c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3:26" x14ac:dyDescent="0.25">
      <c r="C252" s="4"/>
      <c r="D252" s="4"/>
      <c r="E252" s="4"/>
      <c r="F252" s="4"/>
      <c r="G252" s="4"/>
      <c r="H252" s="4"/>
      <c r="I252" s="35"/>
      <c r="J252" s="4"/>
      <c r="K252" s="4"/>
      <c r="L252" s="61"/>
      <c r="M252" s="61"/>
      <c r="N252" s="61"/>
      <c r="O252" s="36"/>
      <c r="P252" s="4" t="str">
        <f t="shared" si="3"/>
        <v/>
      </c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3:26" x14ac:dyDescent="0.25">
      <c r="C253" s="4"/>
      <c r="D253" s="4"/>
      <c r="E253" s="4"/>
      <c r="F253" s="4"/>
      <c r="G253" s="4"/>
      <c r="H253" s="4"/>
      <c r="I253" s="35"/>
      <c r="J253" s="4"/>
      <c r="K253" s="4"/>
      <c r="L253" s="61"/>
      <c r="M253" s="61"/>
      <c r="N253" s="61"/>
      <c r="O253" s="36"/>
      <c r="P253" s="4" t="str">
        <f t="shared" si="3"/>
        <v/>
      </c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3:26" x14ac:dyDescent="0.25">
      <c r="C254" s="4"/>
      <c r="D254" s="4"/>
      <c r="E254" s="4"/>
      <c r="F254" s="4"/>
      <c r="G254" s="4"/>
      <c r="H254" s="4"/>
      <c r="I254" s="35"/>
      <c r="J254" s="4"/>
      <c r="K254" s="4"/>
      <c r="L254" s="61"/>
      <c r="M254" s="61"/>
      <c r="N254" s="61"/>
      <c r="O254" s="36"/>
      <c r="P254" s="4" t="str">
        <f t="shared" si="3"/>
        <v/>
      </c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3:26" x14ac:dyDescent="0.25">
      <c r="C255" s="4"/>
      <c r="D255" s="4"/>
      <c r="E255" s="4"/>
      <c r="F255" s="4"/>
      <c r="G255" s="4"/>
      <c r="H255" s="4"/>
      <c r="I255" s="35"/>
      <c r="J255" s="4"/>
      <c r="K255" s="4"/>
      <c r="L255" s="61"/>
      <c r="M255" s="61"/>
      <c r="N255" s="61"/>
      <c r="O255" s="36"/>
      <c r="P255" s="4" t="str">
        <f t="shared" si="3"/>
        <v/>
      </c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3:26" x14ac:dyDescent="0.25">
      <c r="C256" s="4"/>
      <c r="D256" s="4"/>
      <c r="E256" s="4"/>
      <c r="F256" s="4"/>
      <c r="G256" s="4"/>
      <c r="H256" s="4"/>
      <c r="I256" s="35"/>
      <c r="J256" s="4"/>
      <c r="K256" s="4"/>
      <c r="L256" s="61"/>
      <c r="M256" s="61"/>
      <c r="N256" s="61"/>
      <c r="O256" s="36"/>
      <c r="P256" s="4" t="str">
        <f t="shared" si="3"/>
        <v/>
      </c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3:26" x14ac:dyDescent="0.25">
      <c r="C257" s="4"/>
      <c r="D257" s="4"/>
      <c r="E257" s="4"/>
      <c r="F257" s="4"/>
      <c r="G257" s="4"/>
      <c r="H257" s="4"/>
      <c r="I257" s="35"/>
      <c r="J257" s="4"/>
      <c r="K257" s="4"/>
      <c r="L257" s="61"/>
      <c r="M257" s="61"/>
      <c r="N257" s="61"/>
      <c r="O257" s="36"/>
      <c r="P257" s="4" t="str">
        <f t="shared" si="3"/>
        <v/>
      </c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3:26" x14ac:dyDescent="0.25">
      <c r="C258" s="4"/>
      <c r="D258" s="4"/>
      <c r="E258" s="4"/>
      <c r="F258" s="4"/>
      <c r="G258" s="4"/>
      <c r="H258" s="4"/>
      <c r="I258" s="35"/>
      <c r="J258" s="4"/>
      <c r="K258" s="4"/>
      <c r="L258" s="61"/>
      <c r="M258" s="61"/>
      <c r="N258" s="61"/>
      <c r="O258" s="36"/>
      <c r="P258" s="4" t="str">
        <f t="shared" si="3"/>
        <v/>
      </c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3:26" x14ac:dyDescent="0.25">
      <c r="C259" s="4"/>
      <c r="D259" s="4"/>
      <c r="E259" s="4"/>
      <c r="F259" s="4"/>
      <c r="G259" s="4"/>
      <c r="H259" s="4"/>
      <c r="I259" s="35"/>
      <c r="J259" s="4"/>
      <c r="K259" s="4"/>
      <c r="L259" s="61"/>
      <c r="M259" s="61"/>
      <c r="N259" s="61"/>
      <c r="O259" s="36"/>
      <c r="P259" s="4" t="str">
        <f t="shared" si="3"/>
        <v/>
      </c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3:26" x14ac:dyDescent="0.25">
      <c r="C260" s="4"/>
      <c r="D260" s="4"/>
      <c r="E260" s="4"/>
      <c r="F260" s="4"/>
      <c r="G260" s="4"/>
      <c r="H260" s="4"/>
      <c r="I260" s="35"/>
      <c r="J260" s="4"/>
      <c r="K260" s="4"/>
      <c r="L260" s="61"/>
      <c r="M260" s="61"/>
      <c r="N260" s="61"/>
      <c r="O260" s="36"/>
      <c r="P260" s="4" t="str">
        <f t="shared" si="3"/>
        <v/>
      </c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3:26" x14ac:dyDescent="0.25">
      <c r="C261" s="4"/>
      <c r="D261" s="4"/>
      <c r="E261" s="4"/>
      <c r="F261" s="4"/>
      <c r="G261" s="4"/>
      <c r="H261" s="4"/>
      <c r="I261" s="35"/>
      <c r="J261" s="4"/>
      <c r="K261" s="4"/>
      <c r="L261" s="61"/>
      <c r="M261" s="61"/>
      <c r="N261" s="61"/>
      <c r="O261" s="36"/>
      <c r="P261" s="4" t="str">
        <f t="shared" si="3"/>
        <v/>
      </c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3:26" x14ac:dyDescent="0.25">
      <c r="C262" s="4"/>
      <c r="D262" s="4"/>
      <c r="E262" s="4"/>
      <c r="F262" s="4"/>
      <c r="G262" s="4"/>
      <c r="H262" s="4"/>
      <c r="I262" s="35"/>
      <c r="J262" s="4"/>
      <c r="K262" s="4"/>
      <c r="L262" s="61"/>
      <c r="M262" s="61"/>
      <c r="N262" s="61"/>
      <c r="O262" s="36"/>
      <c r="P262" s="4" t="str">
        <f t="shared" si="3"/>
        <v/>
      </c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3:26" x14ac:dyDescent="0.25">
      <c r="C263" s="4"/>
      <c r="D263" s="4"/>
      <c r="E263" s="4"/>
      <c r="F263" s="4"/>
      <c r="G263" s="4"/>
      <c r="H263" s="4"/>
      <c r="I263" s="35"/>
      <c r="J263" s="4"/>
      <c r="K263" s="4"/>
      <c r="L263" s="61"/>
      <c r="M263" s="61"/>
      <c r="N263" s="61"/>
      <c r="O263" s="36"/>
      <c r="P263" s="4" t="str">
        <f t="shared" ref="P263:P326" si="4">IF(I263="","",SUMIFS(OrderItems_Qty,OrderItems_Type,"PURCHASE",OrderItems_SKU,I263)-SUMIFS(OrderItems_Qty,OrderItems_Type,"SALE",OrderItems_SKU,I263))</f>
        <v/>
      </c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3:26" x14ac:dyDescent="0.25">
      <c r="C264" s="4"/>
      <c r="D264" s="4"/>
      <c r="E264" s="4"/>
      <c r="F264" s="4"/>
      <c r="G264" s="4"/>
      <c r="H264" s="4"/>
      <c r="I264" s="35"/>
      <c r="J264" s="4"/>
      <c r="K264" s="4"/>
      <c r="L264" s="61"/>
      <c r="M264" s="61"/>
      <c r="N264" s="61"/>
      <c r="O264" s="36"/>
      <c r="P264" s="4" t="str">
        <f t="shared" si="4"/>
        <v/>
      </c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3:26" x14ac:dyDescent="0.25">
      <c r="C265" s="4"/>
      <c r="D265" s="4"/>
      <c r="E265" s="4"/>
      <c r="F265" s="4"/>
      <c r="G265" s="4"/>
      <c r="H265" s="4"/>
      <c r="I265" s="35"/>
      <c r="J265" s="4"/>
      <c r="K265" s="4"/>
      <c r="L265" s="61"/>
      <c r="M265" s="61"/>
      <c r="N265" s="61"/>
      <c r="O265" s="36"/>
      <c r="P265" s="4" t="str">
        <f t="shared" si="4"/>
        <v/>
      </c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3:26" x14ac:dyDescent="0.25">
      <c r="C266" s="4"/>
      <c r="D266" s="4"/>
      <c r="E266" s="4"/>
      <c r="F266" s="4"/>
      <c r="G266" s="4"/>
      <c r="H266" s="4"/>
      <c r="I266" s="35"/>
      <c r="J266" s="4"/>
      <c r="K266" s="4"/>
      <c r="L266" s="61"/>
      <c r="M266" s="61"/>
      <c r="N266" s="61"/>
      <c r="O266" s="36"/>
      <c r="P266" s="4" t="str">
        <f t="shared" si="4"/>
        <v/>
      </c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3:26" x14ac:dyDescent="0.25">
      <c r="C267" s="4"/>
      <c r="D267" s="4"/>
      <c r="E267" s="4"/>
      <c r="F267" s="4"/>
      <c r="G267" s="4"/>
      <c r="H267" s="4"/>
      <c r="I267" s="35"/>
      <c r="J267" s="4"/>
      <c r="K267" s="4"/>
      <c r="L267" s="61"/>
      <c r="M267" s="61"/>
      <c r="N267" s="61"/>
      <c r="O267" s="36"/>
      <c r="P267" s="4" t="str">
        <f t="shared" si="4"/>
        <v/>
      </c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3:26" x14ac:dyDescent="0.25">
      <c r="C268" s="4"/>
      <c r="D268" s="4"/>
      <c r="E268" s="4"/>
      <c r="F268" s="4"/>
      <c r="G268" s="4"/>
      <c r="H268" s="4"/>
      <c r="I268" s="35"/>
      <c r="J268" s="4"/>
      <c r="K268" s="4"/>
      <c r="L268" s="61"/>
      <c r="M268" s="61"/>
      <c r="N268" s="61"/>
      <c r="O268" s="36"/>
      <c r="P268" s="4" t="str">
        <f t="shared" si="4"/>
        <v/>
      </c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3:26" x14ac:dyDescent="0.25">
      <c r="C269" s="4"/>
      <c r="D269" s="4"/>
      <c r="E269" s="4"/>
      <c r="F269" s="4"/>
      <c r="G269" s="4"/>
      <c r="H269" s="4"/>
      <c r="I269" s="35"/>
      <c r="J269" s="4"/>
      <c r="K269" s="4"/>
      <c r="L269" s="61"/>
      <c r="M269" s="61"/>
      <c r="N269" s="61"/>
      <c r="O269" s="36"/>
      <c r="P269" s="4" t="str">
        <f t="shared" si="4"/>
        <v/>
      </c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3:26" x14ac:dyDescent="0.25">
      <c r="C270" s="4"/>
      <c r="D270" s="4"/>
      <c r="E270" s="4"/>
      <c r="F270" s="4"/>
      <c r="G270" s="4"/>
      <c r="H270" s="4"/>
      <c r="I270" s="35"/>
      <c r="J270" s="4"/>
      <c r="K270" s="4"/>
      <c r="L270" s="61"/>
      <c r="M270" s="61"/>
      <c r="N270" s="61"/>
      <c r="O270" s="36"/>
      <c r="P270" s="4" t="str">
        <f t="shared" si="4"/>
        <v/>
      </c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3:26" x14ac:dyDescent="0.25">
      <c r="C271" s="4"/>
      <c r="D271" s="4"/>
      <c r="E271" s="4"/>
      <c r="F271" s="4"/>
      <c r="G271" s="4"/>
      <c r="H271" s="4"/>
      <c r="I271" s="4"/>
      <c r="J271" s="4"/>
      <c r="K271" s="4"/>
      <c r="L271" s="61"/>
      <c r="M271" s="61"/>
      <c r="N271" s="61"/>
      <c r="O271" s="4"/>
      <c r="P271" s="4" t="str">
        <f t="shared" si="4"/>
        <v/>
      </c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3:26" x14ac:dyDescent="0.25">
      <c r="C272" s="4"/>
      <c r="D272" s="4"/>
      <c r="E272" s="4"/>
      <c r="F272" s="4"/>
      <c r="G272" s="4"/>
      <c r="H272" s="4"/>
      <c r="I272" s="4"/>
      <c r="J272" s="4"/>
      <c r="K272" s="4"/>
      <c r="L272" s="61"/>
      <c r="M272" s="61"/>
      <c r="N272" s="61"/>
      <c r="O272" s="4"/>
      <c r="P272" s="4" t="str">
        <f t="shared" si="4"/>
        <v/>
      </c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3:26" x14ac:dyDescent="0.25">
      <c r="C273" s="4"/>
      <c r="D273" s="4"/>
      <c r="E273" s="4"/>
      <c r="F273" s="4"/>
      <c r="G273" s="4"/>
      <c r="H273" s="4"/>
      <c r="I273" s="4"/>
      <c r="J273" s="4"/>
      <c r="K273" s="4"/>
      <c r="L273" s="61"/>
      <c r="M273" s="61"/>
      <c r="N273" s="61"/>
      <c r="O273" s="4"/>
      <c r="P273" s="4" t="str">
        <f t="shared" si="4"/>
        <v/>
      </c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3:26" x14ac:dyDescent="0.25">
      <c r="C274" s="4"/>
      <c r="D274" s="4"/>
      <c r="E274" s="4"/>
      <c r="F274" s="4"/>
      <c r="G274" s="4"/>
      <c r="H274" s="4"/>
      <c r="I274" s="4"/>
      <c r="J274" s="4"/>
      <c r="K274" s="4"/>
      <c r="L274" s="61"/>
      <c r="M274" s="61"/>
      <c r="N274" s="61"/>
      <c r="O274" s="4"/>
      <c r="P274" s="4" t="str">
        <f t="shared" si="4"/>
        <v/>
      </c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3:26" x14ac:dyDescent="0.25">
      <c r="C275" s="4"/>
      <c r="D275" s="4"/>
      <c r="E275" s="4"/>
      <c r="F275" s="4"/>
      <c r="G275" s="4"/>
      <c r="H275" s="4"/>
      <c r="I275" s="4"/>
      <c r="J275" s="4"/>
      <c r="K275" s="4"/>
      <c r="L275" s="61"/>
      <c r="M275" s="61"/>
      <c r="N275" s="61"/>
      <c r="O275" s="4"/>
      <c r="P275" s="4" t="str">
        <f t="shared" si="4"/>
        <v/>
      </c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3:26" x14ac:dyDescent="0.25">
      <c r="C276" s="4"/>
      <c r="D276" s="4"/>
      <c r="E276" s="4"/>
      <c r="F276" s="4"/>
      <c r="G276" s="4"/>
      <c r="H276" s="4"/>
      <c r="I276" s="4"/>
      <c r="J276" s="4"/>
      <c r="K276" s="4"/>
      <c r="L276" s="61"/>
      <c r="M276" s="61"/>
      <c r="N276" s="61"/>
      <c r="O276" s="4"/>
      <c r="P276" s="4" t="str">
        <f t="shared" si="4"/>
        <v/>
      </c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3:26" x14ac:dyDescent="0.25">
      <c r="C277" s="4"/>
      <c r="D277" s="4"/>
      <c r="E277" s="4"/>
      <c r="F277" s="4"/>
      <c r="G277" s="4"/>
      <c r="H277" s="4"/>
      <c r="I277" s="4"/>
      <c r="J277" s="4"/>
      <c r="K277" s="4"/>
      <c r="L277" s="61"/>
      <c r="M277" s="61"/>
      <c r="N277" s="61"/>
      <c r="O277" s="4"/>
      <c r="P277" s="4" t="str">
        <f t="shared" si="4"/>
        <v/>
      </c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3:26" x14ac:dyDescent="0.25">
      <c r="C278" s="4"/>
      <c r="D278" s="4"/>
      <c r="E278" s="4"/>
      <c r="F278" s="4"/>
      <c r="G278" s="4"/>
      <c r="H278" s="4"/>
      <c r="I278" s="4"/>
      <c r="J278" s="4"/>
      <c r="K278" s="4"/>
      <c r="L278" s="61"/>
      <c r="M278" s="61"/>
      <c r="N278" s="61"/>
      <c r="O278" s="4"/>
      <c r="P278" s="4" t="str">
        <f t="shared" si="4"/>
        <v/>
      </c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3:26" x14ac:dyDescent="0.25">
      <c r="C279" s="4"/>
      <c r="D279" s="4"/>
      <c r="E279" s="4"/>
      <c r="F279" s="4"/>
      <c r="G279" s="4"/>
      <c r="H279" s="4"/>
      <c r="I279" s="4"/>
      <c r="J279" s="4"/>
      <c r="K279" s="4"/>
      <c r="L279" s="61"/>
      <c r="M279" s="61"/>
      <c r="N279" s="61"/>
      <c r="O279" s="4"/>
      <c r="P279" s="4" t="str">
        <f t="shared" si="4"/>
        <v/>
      </c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3:26" x14ac:dyDescent="0.25">
      <c r="C280" s="4"/>
      <c r="D280" s="4"/>
      <c r="E280" s="4"/>
      <c r="F280" s="4"/>
      <c r="G280" s="4"/>
      <c r="H280" s="4"/>
      <c r="I280" s="4"/>
      <c r="J280" s="4"/>
      <c r="K280" s="4"/>
      <c r="L280" s="61"/>
      <c r="M280" s="61"/>
      <c r="N280" s="61"/>
      <c r="O280" s="4"/>
      <c r="P280" s="4" t="str">
        <f t="shared" si="4"/>
        <v/>
      </c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3:26" x14ac:dyDescent="0.25">
      <c r="C281" s="4"/>
      <c r="D281" s="4"/>
      <c r="E281" s="4"/>
      <c r="F281" s="4"/>
      <c r="G281" s="4"/>
      <c r="H281" s="4"/>
      <c r="I281" s="4"/>
      <c r="J281" s="4"/>
      <c r="K281" s="4"/>
      <c r="L281" s="61"/>
      <c r="M281" s="61"/>
      <c r="N281" s="61"/>
      <c r="O281" s="4"/>
      <c r="P281" s="4" t="str">
        <f t="shared" si="4"/>
        <v/>
      </c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3:26" x14ac:dyDescent="0.25">
      <c r="C282" s="4"/>
      <c r="D282" s="4"/>
      <c r="E282" s="4"/>
      <c r="F282" s="4"/>
      <c r="G282" s="4"/>
      <c r="H282" s="4"/>
      <c r="I282" s="4"/>
      <c r="J282" s="4"/>
      <c r="K282" s="4"/>
      <c r="L282" s="61"/>
      <c r="M282" s="61"/>
      <c r="N282" s="61"/>
      <c r="O282" s="4"/>
      <c r="P282" s="4" t="str">
        <f t="shared" si="4"/>
        <v/>
      </c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3:26" x14ac:dyDescent="0.25">
      <c r="C283" s="4"/>
      <c r="D283" s="4"/>
      <c r="E283" s="4"/>
      <c r="F283" s="4"/>
      <c r="G283" s="4"/>
      <c r="H283" s="4"/>
      <c r="I283" s="4"/>
      <c r="J283" s="4"/>
      <c r="K283" s="4"/>
      <c r="L283" s="61"/>
      <c r="M283" s="61"/>
      <c r="N283" s="61"/>
      <c r="O283" s="4"/>
      <c r="P283" s="4" t="str">
        <f t="shared" si="4"/>
        <v/>
      </c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3:26" x14ac:dyDescent="0.25">
      <c r="C284" s="4"/>
      <c r="D284" s="4"/>
      <c r="E284" s="4"/>
      <c r="F284" s="4"/>
      <c r="G284" s="4"/>
      <c r="H284" s="4"/>
      <c r="I284" s="4"/>
      <c r="J284" s="4"/>
      <c r="K284" s="4"/>
      <c r="L284" s="61"/>
      <c r="M284" s="61"/>
      <c r="N284" s="61"/>
      <c r="O284" s="4"/>
      <c r="P284" s="4" t="str">
        <f t="shared" si="4"/>
        <v/>
      </c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3:26" x14ac:dyDescent="0.25">
      <c r="C285" s="4"/>
      <c r="D285" s="4"/>
      <c r="E285" s="4"/>
      <c r="F285" s="4"/>
      <c r="G285" s="4"/>
      <c r="H285" s="4"/>
      <c r="I285" s="4"/>
      <c r="J285" s="4"/>
      <c r="K285" s="4"/>
      <c r="L285" s="61"/>
      <c r="M285" s="61"/>
      <c r="N285" s="61"/>
      <c r="O285" s="4"/>
      <c r="P285" s="4" t="str">
        <f t="shared" si="4"/>
        <v/>
      </c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3:26" x14ac:dyDescent="0.25">
      <c r="C286" s="4"/>
      <c r="D286" s="4"/>
      <c r="E286" s="4"/>
      <c r="F286" s="4"/>
      <c r="G286" s="4"/>
      <c r="H286" s="4"/>
      <c r="I286" s="4"/>
      <c r="J286" s="4"/>
      <c r="K286" s="4"/>
      <c r="L286" s="61"/>
      <c r="M286" s="61"/>
      <c r="N286" s="61"/>
      <c r="O286" s="4"/>
      <c r="P286" s="4" t="str">
        <f t="shared" si="4"/>
        <v/>
      </c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3:26" x14ac:dyDescent="0.25">
      <c r="C287" s="4"/>
      <c r="D287" s="4"/>
      <c r="E287" s="4"/>
      <c r="F287" s="4"/>
      <c r="G287" s="4"/>
      <c r="H287" s="4"/>
      <c r="I287" s="4"/>
      <c r="J287" s="4"/>
      <c r="K287" s="4"/>
      <c r="L287" s="61"/>
      <c r="M287" s="61"/>
      <c r="N287" s="61"/>
      <c r="O287" s="4"/>
      <c r="P287" s="4" t="str">
        <f t="shared" si="4"/>
        <v/>
      </c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3:26" x14ac:dyDescent="0.25">
      <c r="C288" s="4"/>
      <c r="D288" s="4"/>
      <c r="E288" s="4"/>
      <c r="F288" s="4"/>
      <c r="G288" s="4"/>
      <c r="H288" s="4"/>
      <c r="I288" s="4"/>
      <c r="J288" s="4"/>
      <c r="K288" s="4"/>
      <c r="L288" s="61"/>
      <c r="M288" s="61"/>
      <c r="N288" s="61"/>
      <c r="O288" s="4"/>
      <c r="P288" s="4" t="str">
        <f t="shared" si="4"/>
        <v/>
      </c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3:26" x14ac:dyDescent="0.25">
      <c r="C289" s="4"/>
      <c r="D289" s="4"/>
      <c r="E289" s="4"/>
      <c r="F289" s="4"/>
      <c r="G289" s="4"/>
      <c r="H289" s="4"/>
      <c r="I289" s="4"/>
      <c r="J289" s="4"/>
      <c r="K289" s="4"/>
      <c r="L289" s="61"/>
      <c r="M289" s="61"/>
      <c r="N289" s="61"/>
      <c r="O289" s="4"/>
      <c r="P289" s="4" t="str">
        <f t="shared" si="4"/>
        <v/>
      </c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3:26" x14ac:dyDescent="0.25">
      <c r="C290" s="4"/>
      <c r="D290" s="4"/>
      <c r="E290" s="4"/>
      <c r="F290" s="4"/>
      <c r="G290" s="4"/>
      <c r="H290" s="4"/>
      <c r="I290" s="4"/>
      <c r="J290" s="4"/>
      <c r="K290" s="4"/>
      <c r="L290" s="61"/>
      <c r="M290" s="61"/>
      <c r="N290" s="61"/>
      <c r="O290" s="4"/>
      <c r="P290" s="4" t="str">
        <f t="shared" si="4"/>
        <v/>
      </c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3:26" x14ac:dyDescent="0.25">
      <c r="C291" s="4"/>
      <c r="D291" s="4"/>
      <c r="E291" s="4"/>
      <c r="F291" s="4"/>
      <c r="G291" s="4"/>
      <c r="H291" s="4"/>
      <c r="I291" s="4"/>
      <c r="J291" s="4"/>
      <c r="K291" s="4"/>
      <c r="L291" s="61"/>
      <c r="M291" s="61"/>
      <c r="N291" s="61"/>
      <c r="O291" s="4"/>
      <c r="P291" s="4" t="str">
        <f t="shared" si="4"/>
        <v/>
      </c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3:26" x14ac:dyDescent="0.25">
      <c r="C292" s="4"/>
      <c r="D292" s="4"/>
      <c r="E292" s="4"/>
      <c r="F292" s="4"/>
      <c r="G292" s="4"/>
      <c r="H292" s="4"/>
      <c r="I292" s="4"/>
      <c r="J292" s="4"/>
      <c r="K292" s="4"/>
      <c r="L292" s="61"/>
      <c r="M292" s="61"/>
      <c r="N292" s="61"/>
      <c r="O292" s="4"/>
      <c r="P292" s="4" t="str">
        <f t="shared" si="4"/>
        <v/>
      </c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3:26" x14ac:dyDescent="0.25">
      <c r="C293" s="4"/>
      <c r="D293" s="4"/>
      <c r="E293" s="4"/>
      <c r="F293" s="4"/>
      <c r="G293" s="4"/>
      <c r="H293" s="4"/>
      <c r="I293" s="4"/>
      <c r="J293" s="4"/>
      <c r="K293" s="4"/>
      <c r="L293" s="61"/>
      <c r="M293" s="61"/>
      <c r="N293" s="61"/>
      <c r="O293" s="4"/>
      <c r="P293" s="4" t="str">
        <f t="shared" si="4"/>
        <v/>
      </c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3:26" x14ac:dyDescent="0.25">
      <c r="C294" s="4"/>
      <c r="D294" s="4"/>
      <c r="E294" s="4"/>
      <c r="F294" s="4"/>
      <c r="G294" s="4"/>
      <c r="H294" s="4"/>
      <c r="I294" s="4"/>
      <c r="J294" s="4"/>
      <c r="K294" s="4"/>
      <c r="L294" s="61"/>
      <c r="M294" s="61"/>
      <c r="N294" s="61"/>
      <c r="O294" s="4"/>
      <c r="P294" s="4" t="str">
        <f t="shared" si="4"/>
        <v/>
      </c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3:26" x14ac:dyDescent="0.25">
      <c r="C295" s="4"/>
      <c r="D295" s="4"/>
      <c r="E295" s="4"/>
      <c r="F295" s="4"/>
      <c r="G295" s="4"/>
      <c r="H295" s="4"/>
      <c r="I295" s="4"/>
      <c r="J295" s="4"/>
      <c r="K295" s="4"/>
      <c r="L295" s="61"/>
      <c r="M295" s="61"/>
      <c r="N295" s="61"/>
      <c r="O295" s="4"/>
      <c r="P295" s="4" t="str">
        <f t="shared" si="4"/>
        <v/>
      </c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3:26" x14ac:dyDescent="0.25">
      <c r="C296" s="4"/>
      <c r="D296" s="4"/>
      <c r="E296" s="4"/>
      <c r="F296" s="4"/>
      <c r="G296" s="4"/>
      <c r="H296" s="4"/>
      <c r="I296" s="4"/>
      <c r="J296" s="4"/>
      <c r="K296" s="4"/>
      <c r="L296" s="61"/>
      <c r="M296" s="61"/>
      <c r="N296" s="61"/>
      <c r="O296" s="4"/>
      <c r="P296" s="4" t="str">
        <f t="shared" si="4"/>
        <v/>
      </c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3:26" x14ac:dyDescent="0.25">
      <c r="C297" s="4"/>
      <c r="D297" s="4"/>
      <c r="E297" s="4"/>
      <c r="F297" s="4"/>
      <c r="G297" s="4"/>
      <c r="H297" s="4"/>
      <c r="I297" s="4"/>
      <c r="J297" s="4"/>
      <c r="K297" s="4"/>
      <c r="L297" s="61"/>
      <c r="M297" s="61"/>
      <c r="N297" s="61"/>
      <c r="O297" s="4"/>
      <c r="P297" s="4" t="str">
        <f t="shared" si="4"/>
        <v/>
      </c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3:26" x14ac:dyDescent="0.25">
      <c r="C298" s="4"/>
      <c r="D298" s="4"/>
      <c r="E298" s="4"/>
      <c r="F298" s="4"/>
      <c r="G298" s="4"/>
      <c r="H298" s="4"/>
      <c r="I298" s="4"/>
      <c r="J298" s="4"/>
      <c r="K298" s="4"/>
      <c r="L298" s="61"/>
      <c r="M298" s="61"/>
      <c r="N298" s="61"/>
      <c r="O298" s="4"/>
      <c r="P298" s="4" t="str">
        <f t="shared" si="4"/>
        <v/>
      </c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3:26" x14ac:dyDescent="0.25">
      <c r="C299" s="4"/>
      <c r="D299" s="4"/>
      <c r="E299" s="4"/>
      <c r="F299" s="4"/>
      <c r="G299" s="4"/>
      <c r="H299" s="4"/>
      <c r="I299" s="4"/>
      <c r="J299" s="4"/>
      <c r="K299" s="4"/>
      <c r="L299" s="61"/>
      <c r="M299" s="61"/>
      <c r="N299" s="61"/>
      <c r="O299" s="4"/>
      <c r="P299" s="4" t="str">
        <f t="shared" si="4"/>
        <v/>
      </c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3:26" x14ac:dyDescent="0.25">
      <c r="C300" s="4"/>
      <c r="D300" s="4"/>
      <c r="E300" s="4"/>
      <c r="F300" s="4"/>
      <c r="G300" s="4"/>
      <c r="H300" s="4"/>
      <c r="I300" s="4"/>
      <c r="J300" s="4"/>
      <c r="K300" s="4"/>
      <c r="L300" s="61"/>
      <c r="M300" s="61"/>
      <c r="N300" s="61"/>
      <c r="O300" s="4"/>
      <c r="P300" s="4" t="str">
        <f t="shared" si="4"/>
        <v/>
      </c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3:26" x14ac:dyDescent="0.25">
      <c r="C301" s="4"/>
      <c r="D301" s="4"/>
      <c r="E301" s="4"/>
      <c r="F301" s="4"/>
      <c r="G301" s="4"/>
      <c r="H301" s="4"/>
      <c r="I301" s="4"/>
      <c r="J301" s="4"/>
      <c r="K301" s="4"/>
      <c r="L301" s="61"/>
      <c r="M301" s="61"/>
      <c r="N301" s="61"/>
      <c r="O301" s="4"/>
      <c r="P301" s="4" t="str">
        <f t="shared" si="4"/>
        <v/>
      </c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3:26" x14ac:dyDescent="0.25">
      <c r="C302" s="4"/>
      <c r="D302" s="4"/>
      <c r="E302" s="4"/>
      <c r="F302" s="4"/>
      <c r="G302" s="4"/>
      <c r="H302" s="4"/>
      <c r="I302" s="4"/>
      <c r="J302" s="4"/>
      <c r="K302" s="4"/>
      <c r="L302" s="61"/>
      <c r="M302" s="61"/>
      <c r="N302" s="61"/>
      <c r="O302" s="4"/>
      <c r="P302" s="4" t="str">
        <f t="shared" si="4"/>
        <v/>
      </c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3:26" x14ac:dyDescent="0.25">
      <c r="C303" s="4"/>
      <c r="D303" s="4"/>
      <c r="E303" s="4"/>
      <c r="F303" s="4"/>
      <c r="G303" s="4"/>
      <c r="H303" s="4"/>
      <c r="I303" s="4"/>
      <c r="J303" s="4"/>
      <c r="K303" s="4"/>
      <c r="L303" s="61"/>
      <c r="M303" s="61"/>
      <c r="N303" s="61"/>
      <c r="O303" s="4"/>
      <c r="P303" s="4" t="str">
        <f t="shared" si="4"/>
        <v/>
      </c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3:26" x14ac:dyDescent="0.25">
      <c r="C304" s="4"/>
      <c r="D304" s="4"/>
      <c r="E304" s="4"/>
      <c r="F304" s="4"/>
      <c r="G304" s="4"/>
      <c r="H304" s="4"/>
      <c r="I304" s="4"/>
      <c r="J304" s="4"/>
      <c r="K304" s="4"/>
      <c r="L304" s="61"/>
      <c r="M304" s="61"/>
      <c r="N304" s="61"/>
      <c r="O304" s="4"/>
      <c r="P304" s="4" t="str">
        <f t="shared" si="4"/>
        <v/>
      </c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3:26" x14ac:dyDescent="0.25">
      <c r="C305" s="4"/>
      <c r="D305" s="4"/>
      <c r="E305" s="4"/>
      <c r="F305" s="4"/>
      <c r="G305" s="4"/>
      <c r="H305" s="4"/>
      <c r="I305" s="4"/>
      <c r="J305" s="4"/>
      <c r="K305" s="4"/>
      <c r="L305" s="61"/>
      <c r="M305" s="61"/>
      <c r="N305" s="61"/>
      <c r="O305" s="4"/>
      <c r="P305" s="4" t="str">
        <f t="shared" si="4"/>
        <v/>
      </c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3:26" x14ac:dyDescent="0.25">
      <c r="C306" s="4"/>
      <c r="D306" s="4"/>
      <c r="E306" s="4"/>
      <c r="F306" s="4"/>
      <c r="G306" s="4"/>
      <c r="H306" s="4"/>
      <c r="I306" s="4"/>
      <c r="J306" s="4"/>
      <c r="K306" s="4"/>
      <c r="L306" s="61"/>
      <c r="M306" s="61"/>
      <c r="N306" s="61"/>
      <c r="O306" s="4"/>
      <c r="P306" s="4" t="str">
        <f t="shared" si="4"/>
        <v/>
      </c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3:26" x14ac:dyDescent="0.25">
      <c r="C307" s="4"/>
      <c r="D307" s="4"/>
      <c r="E307" s="4"/>
      <c r="F307" s="4"/>
      <c r="G307" s="4"/>
      <c r="H307" s="4"/>
      <c r="I307" s="4"/>
      <c r="J307" s="4"/>
      <c r="K307" s="4"/>
      <c r="L307" s="61"/>
      <c r="M307" s="61"/>
      <c r="N307" s="61"/>
      <c r="O307" s="4"/>
      <c r="P307" s="4" t="str">
        <f t="shared" si="4"/>
        <v/>
      </c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3:26" x14ac:dyDescent="0.25">
      <c r="C308" s="4"/>
      <c r="D308" s="4"/>
      <c r="E308" s="4"/>
      <c r="F308" s="4"/>
      <c r="G308" s="4"/>
      <c r="H308" s="4"/>
      <c r="I308" s="4"/>
      <c r="J308" s="4"/>
      <c r="K308" s="4"/>
      <c r="L308" s="61"/>
      <c r="M308" s="61"/>
      <c r="N308" s="61"/>
      <c r="O308" s="4"/>
      <c r="P308" s="4" t="str">
        <f t="shared" si="4"/>
        <v/>
      </c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3:26" x14ac:dyDescent="0.25">
      <c r="C309" s="4"/>
      <c r="D309" s="4"/>
      <c r="E309" s="4"/>
      <c r="F309" s="4"/>
      <c r="G309" s="4"/>
      <c r="H309" s="4"/>
      <c r="I309" s="4"/>
      <c r="J309" s="4"/>
      <c r="K309" s="4"/>
      <c r="L309" s="61"/>
      <c r="M309" s="61"/>
      <c r="N309" s="61"/>
      <c r="O309" s="4"/>
      <c r="P309" s="4" t="str">
        <f t="shared" si="4"/>
        <v/>
      </c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3:26" x14ac:dyDescent="0.25">
      <c r="C310" s="4"/>
      <c r="D310" s="4"/>
      <c r="E310" s="4"/>
      <c r="F310" s="4"/>
      <c r="G310" s="4"/>
      <c r="H310" s="4"/>
      <c r="I310" s="4"/>
      <c r="J310" s="4"/>
      <c r="K310" s="4"/>
      <c r="L310" s="61"/>
      <c r="M310" s="61"/>
      <c r="N310" s="61"/>
      <c r="O310" s="4"/>
      <c r="P310" s="4" t="str">
        <f t="shared" si="4"/>
        <v/>
      </c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3:26" x14ac:dyDescent="0.25">
      <c r="C311" s="4"/>
      <c r="D311" s="4"/>
      <c r="E311" s="4"/>
      <c r="F311" s="4"/>
      <c r="G311" s="4"/>
      <c r="H311" s="4"/>
      <c r="I311" s="4"/>
      <c r="J311" s="4"/>
      <c r="K311" s="4"/>
      <c r="L311" s="61"/>
      <c r="M311" s="61"/>
      <c r="N311" s="61"/>
      <c r="O311" s="4"/>
      <c r="P311" s="4" t="str">
        <f t="shared" si="4"/>
        <v/>
      </c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3:26" x14ac:dyDescent="0.25">
      <c r="C312" s="4"/>
      <c r="D312" s="4"/>
      <c r="E312" s="4"/>
      <c r="F312" s="4"/>
      <c r="G312" s="4"/>
      <c r="H312" s="4"/>
      <c r="I312" s="4"/>
      <c r="J312" s="4"/>
      <c r="K312" s="4"/>
      <c r="L312" s="61"/>
      <c r="M312" s="61"/>
      <c r="N312" s="61"/>
      <c r="O312" s="4"/>
      <c r="P312" s="4" t="str">
        <f t="shared" si="4"/>
        <v/>
      </c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3:26" x14ac:dyDescent="0.25">
      <c r="C313" s="4"/>
      <c r="D313" s="4"/>
      <c r="E313" s="4"/>
      <c r="F313" s="4"/>
      <c r="G313" s="4"/>
      <c r="H313" s="4"/>
      <c r="I313" s="4"/>
      <c r="J313" s="4"/>
      <c r="K313" s="4"/>
      <c r="L313" s="61"/>
      <c r="M313" s="61"/>
      <c r="N313" s="61"/>
      <c r="O313" s="4"/>
      <c r="P313" s="4" t="str">
        <f t="shared" si="4"/>
        <v/>
      </c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3:26" x14ac:dyDescent="0.25">
      <c r="C314" s="4"/>
      <c r="D314" s="4"/>
      <c r="E314" s="4"/>
      <c r="F314" s="4"/>
      <c r="G314" s="4"/>
      <c r="H314" s="4"/>
      <c r="I314" s="4"/>
      <c r="J314" s="4"/>
      <c r="K314" s="4"/>
      <c r="L314" s="61"/>
      <c r="M314" s="61"/>
      <c r="N314" s="61"/>
      <c r="O314" s="4"/>
      <c r="P314" s="4" t="str">
        <f t="shared" si="4"/>
        <v/>
      </c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3:26" x14ac:dyDescent="0.25">
      <c r="C315" s="4"/>
      <c r="D315" s="4"/>
      <c r="E315" s="4"/>
      <c r="F315" s="4"/>
      <c r="G315" s="4"/>
      <c r="H315" s="4"/>
      <c r="I315" s="4"/>
      <c r="J315" s="4"/>
      <c r="K315" s="4"/>
      <c r="L315" s="61"/>
      <c r="M315" s="61"/>
      <c r="N315" s="61"/>
      <c r="O315" s="4"/>
      <c r="P315" s="4" t="str">
        <f t="shared" si="4"/>
        <v/>
      </c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3:26" x14ac:dyDescent="0.25">
      <c r="C316" s="4"/>
      <c r="D316" s="4"/>
      <c r="E316" s="4"/>
      <c r="F316" s="4"/>
      <c r="G316" s="4"/>
      <c r="H316" s="4"/>
      <c r="I316" s="4"/>
      <c r="J316" s="4"/>
      <c r="K316" s="4"/>
      <c r="L316" s="61"/>
      <c r="M316" s="61"/>
      <c r="N316" s="61"/>
      <c r="O316" s="4"/>
      <c r="P316" s="4" t="str">
        <f t="shared" si="4"/>
        <v/>
      </c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3:26" x14ac:dyDescent="0.25">
      <c r="C317" s="4"/>
      <c r="D317" s="4"/>
      <c r="E317" s="4"/>
      <c r="F317" s="4"/>
      <c r="G317" s="4"/>
      <c r="H317" s="4"/>
      <c r="I317" s="4"/>
      <c r="J317" s="4"/>
      <c r="K317" s="4"/>
      <c r="L317" s="61"/>
      <c r="M317" s="61"/>
      <c r="N317" s="61"/>
      <c r="O317" s="4"/>
      <c r="P317" s="4" t="str">
        <f t="shared" si="4"/>
        <v/>
      </c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3:26" x14ac:dyDescent="0.25">
      <c r="C318" s="4"/>
      <c r="D318" s="4"/>
      <c r="E318" s="4"/>
      <c r="F318" s="4"/>
      <c r="G318" s="4"/>
      <c r="H318" s="4"/>
      <c r="I318" s="4"/>
      <c r="J318" s="4"/>
      <c r="K318" s="4"/>
      <c r="L318" s="61"/>
      <c r="M318" s="61"/>
      <c r="N318" s="61"/>
      <c r="O318" s="4"/>
      <c r="P318" s="4" t="str">
        <f t="shared" si="4"/>
        <v/>
      </c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3:26" x14ac:dyDescent="0.25">
      <c r="C319" s="4"/>
      <c r="D319" s="4"/>
      <c r="E319" s="4"/>
      <c r="F319" s="4"/>
      <c r="G319" s="4"/>
      <c r="H319" s="4"/>
      <c r="I319" s="4"/>
      <c r="J319" s="4"/>
      <c r="K319" s="4"/>
      <c r="L319" s="61"/>
      <c r="M319" s="61"/>
      <c r="N319" s="61"/>
      <c r="O319" s="4"/>
      <c r="P319" s="4" t="str">
        <f t="shared" si="4"/>
        <v/>
      </c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3:26" x14ac:dyDescent="0.25">
      <c r="C320" s="4"/>
      <c r="D320" s="4"/>
      <c r="E320" s="4"/>
      <c r="F320" s="4"/>
      <c r="G320" s="4"/>
      <c r="H320" s="4"/>
      <c r="I320" s="4"/>
      <c r="J320" s="4"/>
      <c r="K320" s="4"/>
      <c r="L320" s="61"/>
      <c r="M320" s="61"/>
      <c r="N320" s="61"/>
      <c r="O320" s="4"/>
      <c r="P320" s="4" t="str">
        <f t="shared" si="4"/>
        <v/>
      </c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3:26" x14ac:dyDescent="0.25">
      <c r="C321" s="4"/>
      <c r="D321" s="4"/>
      <c r="E321" s="4"/>
      <c r="F321" s="4"/>
      <c r="G321" s="4"/>
      <c r="H321" s="4"/>
      <c r="I321" s="4"/>
      <c r="J321" s="4"/>
      <c r="K321" s="4"/>
      <c r="L321" s="61"/>
      <c r="M321" s="61"/>
      <c r="N321" s="61"/>
      <c r="O321" s="4"/>
      <c r="P321" s="4" t="str">
        <f t="shared" si="4"/>
        <v/>
      </c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3:26" x14ac:dyDescent="0.25">
      <c r="C322" s="4"/>
      <c r="D322" s="4"/>
      <c r="E322" s="4"/>
      <c r="F322" s="4"/>
      <c r="G322" s="4"/>
      <c r="H322" s="4"/>
      <c r="I322" s="4"/>
      <c r="J322" s="4"/>
      <c r="K322" s="4"/>
      <c r="L322" s="61"/>
      <c r="M322" s="61"/>
      <c r="N322" s="61"/>
      <c r="O322" s="4"/>
      <c r="P322" s="4" t="str">
        <f t="shared" si="4"/>
        <v/>
      </c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3:26" x14ac:dyDescent="0.25">
      <c r="C323" s="4"/>
      <c r="D323" s="4"/>
      <c r="E323" s="4"/>
      <c r="F323" s="4"/>
      <c r="G323" s="4"/>
      <c r="H323" s="4"/>
      <c r="I323" s="4"/>
      <c r="J323" s="4"/>
      <c r="K323" s="4"/>
      <c r="L323" s="61"/>
      <c r="M323" s="61"/>
      <c r="N323" s="61"/>
      <c r="O323" s="4"/>
      <c r="P323" s="4" t="str">
        <f t="shared" si="4"/>
        <v/>
      </c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3:26" x14ac:dyDescent="0.25">
      <c r="C324" s="4"/>
      <c r="D324" s="4"/>
      <c r="E324" s="4"/>
      <c r="F324" s="4"/>
      <c r="G324" s="4"/>
      <c r="H324" s="4"/>
      <c r="I324" s="4"/>
      <c r="J324" s="4"/>
      <c r="K324" s="4"/>
      <c r="L324" s="61"/>
      <c r="M324" s="61"/>
      <c r="N324" s="61"/>
      <c r="O324" s="4"/>
      <c r="P324" s="4" t="str">
        <f t="shared" si="4"/>
        <v/>
      </c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3:26" x14ac:dyDescent="0.25">
      <c r="C325" s="4"/>
      <c r="D325" s="4"/>
      <c r="E325" s="4"/>
      <c r="F325" s="4"/>
      <c r="G325" s="4"/>
      <c r="H325" s="4"/>
      <c r="I325" s="4"/>
      <c r="J325" s="4"/>
      <c r="K325" s="4"/>
      <c r="L325" s="61"/>
      <c r="M325" s="61"/>
      <c r="N325" s="61"/>
      <c r="O325" s="4"/>
      <c r="P325" s="4" t="str">
        <f t="shared" si="4"/>
        <v/>
      </c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3:26" x14ac:dyDescent="0.25">
      <c r="C326" s="4"/>
      <c r="D326" s="4"/>
      <c r="E326" s="4"/>
      <c r="F326" s="4"/>
      <c r="G326" s="4"/>
      <c r="H326" s="4"/>
      <c r="I326" s="4"/>
      <c r="J326" s="4"/>
      <c r="K326" s="4"/>
      <c r="L326" s="61"/>
      <c r="M326" s="61"/>
      <c r="N326" s="61"/>
      <c r="O326" s="4"/>
      <c r="P326" s="4" t="str">
        <f t="shared" si="4"/>
        <v/>
      </c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3:26" x14ac:dyDescent="0.25">
      <c r="C327" s="4"/>
      <c r="D327" s="4"/>
      <c r="E327" s="4"/>
      <c r="F327" s="4"/>
      <c r="G327" s="4"/>
      <c r="H327" s="4"/>
      <c r="I327" s="4"/>
      <c r="J327" s="4"/>
      <c r="K327" s="4"/>
      <c r="L327" s="61"/>
      <c r="M327" s="61"/>
      <c r="N327" s="61"/>
      <c r="O327" s="4"/>
      <c r="P327" s="4" t="str">
        <f t="shared" ref="P327:P390" si="5">IF(I327="","",SUMIFS(OrderItems_Qty,OrderItems_Type,"PURCHASE",OrderItems_SKU,I327)-SUMIFS(OrderItems_Qty,OrderItems_Type,"SALE",OrderItems_SKU,I327))</f>
        <v/>
      </c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3:26" x14ac:dyDescent="0.25">
      <c r="C328" s="4"/>
      <c r="D328" s="4"/>
      <c r="E328" s="4"/>
      <c r="F328" s="4"/>
      <c r="G328" s="4"/>
      <c r="H328" s="4"/>
      <c r="I328" s="4"/>
      <c r="J328" s="4"/>
      <c r="K328" s="4"/>
      <c r="L328" s="61"/>
      <c r="M328" s="61"/>
      <c r="N328" s="61"/>
      <c r="O328" s="4"/>
      <c r="P328" s="4" t="str">
        <f t="shared" si="5"/>
        <v/>
      </c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3:26" x14ac:dyDescent="0.25">
      <c r="C329" s="4"/>
      <c r="D329" s="4"/>
      <c r="E329" s="4"/>
      <c r="F329" s="4"/>
      <c r="G329" s="4"/>
      <c r="H329" s="4"/>
      <c r="I329" s="4"/>
      <c r="J329" s="4"/>
      <c r="K329" s="4"/>
      <c r="L329" s="61"/>
      <c r="M329" s="61"/>
      <c r="N329" s="61"/>
      <c r="O329" s="4"/>
      <c r="P329" s="4" t="str">
        <f t="shared" si="5"/>
        <v/>
      </c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3:26" x14ac:dyDescent="0.25">
      <c r="C330" s="4"/>
      <c r="D330" s="4"/>
      <c r="E330" s="4"/>
      <c r="F330" s="4"/>
      <c r="G330" s="4"/>
      <c r="H330" s="4"/>
      <c r="I330" s="4"/>
      <c r="J330" s="4"/>
      <c r="K330" s="4"/>
      <c r="L330" s="61"/>
      <c r="M330" s="61"/>
      <c r="N330" s="61"/>
      <c r="O330" s="4"/>
      <c r="P330" s="4" t="str">
        <f t="shared" si="5"/>
        <v/>
      </c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3:26" x14ac:dyDescent="0.25">
      <c r="C331" s="4"/>
      <c r="D331" s="4"/>
      <c r="E331" s="4"/>
      <c r="F331" s="4"/>
      <c r="G331" s="4"/>
      <c r="H331" s="4"/>
      <c r="I331" s="4"/>
      <c r="J331" s="4"/>
      <c r="K331" s="4"/>
      <c r="L331" s="61"/>
      <c r="M331" s="61"/>
      <c r="N331" s="61"/>
      <c r="O331" s="4"/>
      <c r="P331" s="4" t="str">
        <f t="shared" si="5"/>
        <v/>
      </c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3:26" x14ac:dyDescent="0.25">
      <c r="C332" s="4"/>
      <c r="D332" s="4"/>
      <c r="E332" s="4"/>
      <c r="F332" s="4"/>
      <c r="G332" s="4"/>
      <c r="H332" s="4"/>
      <c r="I332" s="4"/>
      <c r="J332" s="4"/>
      <c r="K332" s="4"/>
      <c r="L332" s="61"/>
      <c r="M332" s="61"/>
      <c r="N332" s="61"/>
      <c r="O332" s="4"/>
      <c r="P332" s="4" t="str">
        <f t="shared" si="5"/>
        <v/>
      </c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3:26" x14ac:dyDescent="0.25">
      <c r="C333" s="4"/>
      <c r="D333" s="4"/>
      <c r="E333" s="4"/>
      <c r="F333" s="4"/>
      <c r="G333" s="4"/>
      <c r="H333" s="4"/>
      <c r="I333" s="4"/>
      <c r="J333" s="4"/>
      <c r="K333" s="4"/>
      <c r="L333" s="61"/>
      <c r="M333" s="61"/>
      <c r="N333" s="61"/>
      <c r="O333" s="4"/>
      <c r="P333" s="4" t="str">
        <f t="shared" si="5"/>
        <v/>
      </c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3:26" x14ac:dyDescent="0.25">
      <c r="C334" s="4"/>
      <c r="D334" s="4"/>
      <c r="E334" s="4"/>
      <c r="F334" s="4"/>
      <c r="G334" s="4"/>
      <c r="H334" s="4"/>
      <c r="I334" s="4"/>
      <c r="J334" s="4"/>
      <c r="K334" s="4"/>
      <c r="L334" s="61"/>
      <c r="M334" s="61"/>
      <c r="N334" s="61"/>
      <c r="O334" s="4"/>
      <c r="P334" s="4" t="str">
        <f t="shared" si="5"/>
        <v/>
      </c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3:26" x14ac:dyDescent="0.25">
      <c r="C335" s="4"/>
      <c r="D335" s="4"/>
      <c r="E335" s="4"/>
      <c r="F335" s="4"/>
      <c r="G335" s="4"/>
      <c r="H335" s="4"/>
      <c r="I335" s="4"/>
      <c r="J335" s="4"/>
      <c r="K335" s="4"/>
      <c r="L335" s="61"/>
      <c r="M335" s="61"/>
      <c r="N335" s="61"/>
      <c r="O335" s="4"/>
      <c r="P335" s="4" t="str">
        <f t="shared" si="5"/>
        <v/>
      </c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3:26" x14ac:dyDescent="0.25">
      <c r="C336" s="4"/>
      <c r="D336" s="4"/>
      <c r="E336" s="4"/>
      <c r="F336" s="4"/>
      <c r="G336" s="4"/>
      <c r="H336" s="4"/>
      <c r="I336" s="4"/>
      <c r="J336" s="4"/>
      <c r="K336" s="4"/>
      <c r="L336" s="61"/>
      <c r="M336" s="61"/>
      <c r="N336" s="61"/>
      <c r="O336" s="4"/>
      <c r="P336" s="4" t="str">
        <f t="shared" si="5"/>
        <v/>
      </c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3:26" x14ac:dyDescent="0.25">
      <c r="C337" s="4"/>
      <c r="D337" s="4"/>
      <c r="E337" s="4"/>
      <c r="F337" s="4"/>
      <c r="G337" s="4"/>
      <c r="H337" s="4"/>
      <c r="I337" s="4"/>
      <c r="J337" s="4"/>
      <c r="K337" s="4"/>
      <c r="L337" s="61"/>
      <c r="M337" s="61"/>
      <c r="N337" s="61"/>
      <c r="O337" s="4"/>
      <c r="P337" s="4" t="str">
        <f t="shared" si="5"/>
        <v/>
      </c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3:26" x14ac:dyDescent="0.25">
      <c r="C338" s="4"/>
      <c r="D338" s="4"/>
      <c r="E338" s="4"/>
      <c r="F338" s="4"/>
      <c r="G338" s="4"/>
      <c r="H338" s="4"/>
      <c r="I338" s="4"/>
      <c r="J338" s="4"/>
      <c r="K338" s="4"/>
      <c r="L338" s="61"/>
      <c r="M338" s="61"/>
      <c r="N338" s="61"/>
      <c r="O338" s="4"/>
      <c r="P338" s="4" t="str">
        <f t="shared" si="5"/>
        <v/>
      </c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3:26" x14ac:dyDescent="0.25">
      <c r="C339" s="4"/>
      <c r="D339" s="4"/>
      <c r="E339" s="4"/>
      <c r="F339" s="4"/>
      <c r="G339" s="4"/>
      <c r="H339" s="4"/>
      <c r="I339" s="4"/>
      <c r="J339" s="4"/>
      <c r="K339" s="4"/>
      <c r="L339" s="61"/>
      <c r="M339" s="61"/>
      <c r="N339" s="61"/>
      <c r="O339" s="4"/>
      <c r="P339" s="4" t="str">
        <f t="shared" si="5"/>
        <v/>
      </c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3:26" x14ac:dyDescent="0.25">
      <c r="C340" s="4"/>
      <c r="D340" s="4"/>
      <c r="E340" s="4"/>
      <c r="F340" s="4"/>
      <c r="G340" s="4"/>
      <c r="H340" s="4"/>
      <c r="I340" s="4"/>
      <c r="J340" s="4"/>
      <c r="K340" s="4"/>
      <c r="L340" s="61"/>
      <c r="M340" s="61"/>
      <c r="N340" s="61"/>
      <c r="O340" s="4"/>
      <c r="P340" s="4" t="str">
        <f t="shared" si="5"/>
        <v/>
      </c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3:26" x14ac:dyDescent="0.25">
      <c r="C341" s="4"/>
      <c r="D341" s="4"/>
      <c r="E341" s="4"/>
      <c r="F341" s="4"/>
      <c r="G341" s="4"/>
      <c r="H341" s="4"/>
      <c r="I341" s="4"/>
      <c r="J341" s="4"/>
      <c r="K341" s="4"/>
      <c r="L341" s="61"/>
      <c r="M341" s="61"/>
      <c r="N341" s="61"/>
      <c r="O341" s="4"/>
      <c r="P341" s="4" t="str">
        <f t="shared" si="5"/>
        <v/>
      </c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3:26" x14ac:dyDescent="0.25">
      <c r="C342" s="4"/>
      <c r="D342" s="4"/>
      <c r="E342" s="4"/>
      <c r="F342" s="4"/>
      <c r="G342" s="4"/>
      <c r="H342" s="4"/>
      <c r="I342" s="4"/>
      <c r="J342" s="4"/>
      <c r="K342" s="4"/>
      <c r="L342" s="61"/>
      <c r="M342" s="61"/>
      <c r="N342" s="61"/>
      <c r="O342" s="4"/>
      <c r="P342" s="4" t="str">
        <f t="shared" si="5"/>
        <v/>
      </c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3:26" x14ac:dyDescent="0.25">
      <c r="C343" s="4"/>
      <c r="D343" s="4"/>
      <c r="E343" s="4"/>
      <c r="F343" s="4"/>
      <c r="G343" s="4"/>
      <c r="H343" s="4"/>
      <c r="I343" s="4"/>
      <c r="J343" s="4"/>
      <c r="K343" s="4"/>
      <c r="L343" s="61"/>
      <c r="M343" s="61"/>
      <c r="N343" s="61"/>
      <c r="O343" s="4"/>
      <c r="P343" s="4" t="str">
        <f t="shared" si="5"/>
        <v/>
      </c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3:26" x14ac:dyDescent="0.25">
      <c r="C344" s="4"/>
      <c r="D344" s="4"/>
      <c r="E344" s="4"/>
      <c r="F344" s="4"/>
      <c r="G344" s="4"/>
      <c r="H344" s="4"/>
      <c r="I344" s="4"/>
      <c r="J344" s="4"/>
      <c r="K344" s="4"/>
      <c r="L344" s="61"/>
      <c r="M344" s="61"/>
      <c r="N344" s="61"/>
      <c r="O344" s="4"/>
      <c r="P344" s="4" t="str">
        <f t="shared" si="5"/>
        <v/>
      </c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3:26" x14ac:dyDescent="0.25">
      <c r="C345" s="4"/>
      <c r="D345" s="4"/>
      <c r="E345" s="4"/>
      <c r="F345" s="4"/>
      <c r="G345" s="4"/>
      <c r="H345" s="4"/>
      <c r="I345" s="4"/>
      <c r="J345" s="4"/>
      <c r="K345" s="4"/>
      <c r="L345" s="61"/>
      <c r="M345" s="61"/>
      <c r="N345" s="61"/>
      <c r="O345" s="4"/>
      <c r="P345" s="4" t="str">
        <f t="shared" si="5"/>
        <v/>
      </c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3:26" x14ac:dyDescent="0.25">
      <c r="C346" s="4"/>
      <c r="D346" s="4"/>
      <c r="E346" s="4"/>
      <c r="F346" s="4"/>
      <c r="G346" s="4"/>
      <c r="H346" s="4"/>
      <c r="I346" s="4"/>
      <c r="J346" s="4"/>
      <c r="K346" s="4"/>
      <c r="L346" s="61"/>
      <c r="M346" s="61"/>
      <c r="N346" s="61"/>
      <c r="O346" s="4"/>
      <c r="P346" s="4" t="str">
        <f t="shared" si="5"/>
        <v/>
      </c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3:26" x14ac:dyDescent="0.25">
      <c r="C347" s="4"/>
      <c r="D347" s="4"/>
      <c r="E347" s="4"/>
      <c r="F347" s="4"/>
      <c r="G347" s="4"/>
      <c r="H347" s="4"/>
      <c r="I347" s="4"/>
      <c r="J347" s="4"/>
      <c r="K347" s="4"/>
      <c r="L347" s="61"/>
      <c r="M347" s="61"/>
      <c r="N347" s="61"/>
      <c r="O347" s="4"/>
      <c r="P347" s="4" t="str">
        <f t="shared" si="5"/>
        <v/>
      </c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3:26" x14ac:dyDescent="0.25">
      <c r="C348" s="4"/>
      <c r="D348" s="4"/>
      <c r="E348" s="4"/>
      <c r="F348" s="4"/>
      <c r="G348" s="4"/>
      <c r="H348" s="4"/>
      <c r="I348" s="4"/>
      <c r="J348" s="4"/>
      <c r="K348" s="4"/>
      <c r="L348" s="61"/>
      <c r="M348" s="61"/>
      <c r="N348" s="61"/>
      <c r="O348" s="4"/>
      <c r="P348" s="4" t="str">
        <f t="shared" si="5"/>
        <v/>
      </c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3:26" x14ac:dyDescent="0.25">
      <c r="C349" s="4"/>
      <c r="D349" s="4"/>
      <c r="E349" s="4"/>
      <c r="F349" s="4"/>
      <c r="G349" s="4"/>
      <c r="H349" s="4"/>
      <c r="I349" s="4"/>
      <c r="J349" s="4"/>
      <c r="K349" s="4"/>
      <c r="L349" s="61"/>
      <c r="M349" s="61"/>
      <c r="N349" s="61"/>
      <c r="O349" s="4"/>
      <c r="P349" s="4" t="str">
        <f t="shared" si="5"/>
        <v/>
      </c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3:26" x14ac:dyDescent="0.25">
      <c r="C350" s="4"/>
      <c r="D350" s="4"/>
      <c r="E350" s="4"/>
      <c r="F350" s="4"/>
      <c r="G350" s="4"/>
      <c r="H350" s="4"/>
      <c r="I350" s="4"/>
      <c r="J350" s="4"/>
      <c r="K350" s="4"/>
      <c r="L350" s="61"/>
      <c r="M350" s="61"/>
      <c r="N350" s="61"/>
      <c r="O350" s="4"/>
      <c r="P350" s="4" t="str">
        <f t="shared" si="5"/>
        <v/>
      </c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3:26" x14ac:dyDescent="0.25">
      <c r="C351" s="4"/>
      <c r="D351" s="4"/>
      <c r="E351" s="4"/>
      <c r="F351" s="4"/>
      <c r="G351" s="4"/>
      <c r="H351" s="4"/>
      <c r="I351" s="4"/>
      <c r="J351" s="4"/>
      <c r="K351" s="4"/>
      <c r="L351" s="61"/>
      <c r="M351" s="61"/>
      <c r="N351" s="61"/>
      <c r="O351" s="4"/>
      <c r="P351" s="4" t="str">
        <f t="shared" si="5"/>
        <v/>
      </c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3:26" x14ac:dyDescent="0.25">
      <c r="C352" s="4"/>
      <c r="D352" s="4"/>
      <c r="E352" s="4"/>
      <c r="F352" s="4"/>
      <c r="G352" s="4"/>
      <c r="H352" s="4"/>
      <c r="I352" s="4"/>
      <c r="J352" s="4"/>
      <c r="K352" s="4"/>
      <c r="L352" s="61"/>
      <c r="M352" s="61"/>
      <c r="N352" s="61"/>
      <c r="O352" s="4"/>
      <c r="P352" s="4" t="str">
        <f t="shared" si="5"/>
        <v/>
      </c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3:26" x14ac:dyDescent="0.25">
      <c r="C353" s="4"/>
      <c r="D353" s="4"/>
      <c r="E353" s="4"/>
      <c r="F353" s="4"/>
      <c r="G353" s="4"/>
      <c r="H353" s="4"/>
      <c r="I353" s="4"/>
      <c r="J353" s="4"/>
      <c r="K353" s="4"/>
      <c r="L353" s="61"/>
      <c r="M353" s="61"/>
      <c r="N353" s="61"/>
      <c r="O353" s="4"/>
      <c r="P353" s="4" t="str">
        <f t="shared" si="5"/>
        <v/>
      </c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3:26" x14ac:dyDescent="0.25">
      <c r="C354" s="4"/>
      <c r="D354" s="4"/>
      <c r="E354" s="4"/>
      <c r="F354" s="4"/>
      <c r="G354" s="4"/>
      <c r="H354" s="4"/>
      <c r="I354" s="4"/>
      <c r="J354" s="4"/>
      <c r="K354" s="4"/>
      <c r="L354" s="61"/>
      <c r="M354" s="61"/>
      <c r="N354" s="61"/>
      <c r="O354" s="4"/>
      <c r="P354" s="4" t="str">
        <f t="shared" si="5"/>
        <v/>
      </c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3:26" x14ac:dyDescent="0.25">
      <c r="C355" s="4"/>
      <c r="D355" s="4"/>
      <c r="E355" s="4"/>
      <c r="F355" s="4"/>
      <c r="G355" s="4"/>
      <c r="H355" s="4"/>
      <c r="I355" s="4"/>
      <c r="J355" s="4"/>
      <c r="K355" s="4"/>
      <c r="L355" s="61"/>
      <c r="M355" s="61"/>
      <c r="N355" s="61"/>
      <c r="O355" s="4"/>
      <c r="P355" s="4" t="str">
        <f t="shared" si="5"/>
        <v/>
      </c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3:26" x14ac:dyDescent="0.25">
      <c r="C356" s="4"/>
      <c r="D356" s="4"/>
      <c r="E356" s="4"/>
      <c r="F356" s="4"/>
      <c r="G356" s="4"/>
      <c r="H356" s="4"/>
      <c r="I356" s="4"/>
      <c r="J356" s="4"/>
      <c r="K356" s="4"/>
      <c r="L356" s="61"/>
      <c r="M356" s="61"/>
      <c r="N356" s="61"/>
      <c r="O356" s="4"/>
      <c r="P356" s="4" t="str">
        <f t="shared" si="5"/>
        <v/>
      </c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3:26" x14ac:dyDescent="0.25">
      <c r="C357" s="4"/>
      <c r="D357" s="4"/>
      <c r="E357" s="4"/>
      <c r="F357" s="4"/>
      <c r="G357" s="4"/>
      <c r="H357" s="4"/>
      <c r="I357" s="4"/>
      <c r="J357" s="4"/>
      <c r="K357" s="4"/>
      <c r="L357" s="61"/>
      <c r="M357" s="61"/>
      <c r="N357" s="61"/>
      <c r="O357" s="4"/>
      <c r="P357" s="4" t="str">
        <f t="shared" si="5"/>
        <v/>
      </c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3:26" x14ac:dyDescent="0.25">
      <c r="C358" s="4"/>
      <c r="D358" s="4"/>
      <c r="E358" s="4"/>
      <c r="F358" s="4"/>
      <c r="G358" s="4"/>
      <c r="H358" s="4"/>
      <c r="I358" s="4"/>
      <c r="J358" s="4"/>
      <c r="K358" s="4"/>
      <c r="L358" s="61"/>
      <c r="M358" s="61"/>
      <c r="N358" s="61"/>
      <c r="O358" s="4"/>
      <c r="P358" s="4" t="str">
        <f t="shared" si="5"/>
        <v/>
      </c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3:26" x14ac:dyDescent="0.25">
      <c r="C359" s="4"/>
      <c r="D359" s="4"/>
      <c r="E359" s="4"/>
      <c r="F359" s="4"/>
      <c r="G359" s="4"/>
      <c r="H359" s="4"/>
      <c r="I359" s="4"/>
      <c r="J359" s="4"/>
      <c r="K359" s="4"/>
      <c r="L359" s="61"/>
      <c r="M359" s="61"/>
      <c r="N359" s="61"/>
      <c r="O359" s="4"/>
      <c r="P359" s="4" t="str">
        <f t="shared" si="5"/>
        <v/>
      </c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3:26" x14ac:dyDescent="0.25">
      <c r="C360" s="4"/>
      <c r="D360" s="4"/>
      <c r="E360" s="4"/>
      <c r="F360" s="4"/>
      <c r="G360" s="4"/>
      <c r="H360" s="4"/>
      <c r="I360" s="4"/>
      <c r="J360" s="4"/>
      <c r="K360" s="4"/>
      <c r="L360" s="61"/>
      <c r="M360" s="61"/>
      <c r="N360" s="61"/>
      <c r="O360" s="4"/>
      <c r="P360" s="4" t="str">
        <f t="shared" si="5"/>
        <v/>
      </c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3:26" x14ac:dyDescent="0.25">
      <c r="C361" s="4"/>
      <c r="D361" s="4"/>
      <c r="E361" s="4"/>
      <c r="F361" s="4"/>
      <c r="G361" s="4"/>
      <c r="H361" s="4"/>
      <c r="I361" s="4"/>
      <c r="J361" s="4"/>
      <c r="K361" s="4"/>
      <c r="L361" s="61"/>
      <c r="M361" s="61"/>
      <c r="N361" s="61"/>
      <c r="O361" s="4"/>
      <c r="P361" s="4" t="str">
        <f t="shared" si="5"/>
        <v/>
      </c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3:26" x14ac:dyDescent="0.25">
      <c r="C362" s="4"/>
      <c r="D362" s="4"/>
      <c r="E362" s="4"/>
      <c r="F362" s="4"/>
      <c r="G362" s="4"/>
      <c r="H362" s="4"/>
      <c r="I362" s="4"/>
      <c r="J362" s="4"/>
      <c r="K362" s="4"/>
      <c r="L362" s="61"/>
      <c r="M362" s="61"/>
      <c r="N362" s="61"/>
      <c r="O362" s="4"/>
      <c r="P362" s="4" t="str">
        <f t="shared" si="5"/>
        <v/>
      </c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3:26" x14ac:dyDescent="0.25">
      <c r="C363" s="4"/>
      <c r="D363" s="4"/>
      <c r="E363" s="4"/>
      <c r="F363" s="4"/>
      <c r="G363" s="4"/>
      <c r="H363" s="4"/>
      <c r="I363" s="4"/>
      <c r="J363" s="4"/>
      <c r="K363" s="4"/>
      <c r="L363" s="61"/>
      <c r="M363" s="61"/>
      <c r="N363" s="61"/>
      <c r="O363" s="4"/>
      <c r="P363" s="4" t="str">
        <f t="shared" si="5"/>
        <v/>
      </c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3:26" x14ac:dyDescent="0.25">
      <c r="C364" s="4"/>
      <c r="D364" s="4"/>
      <c r="E364" s="4"/>
      <c r="F364" s="4"/>
      <c r="G364" s="4"/>
      <c r="H364" s="4"/>
      <c r="I364" s="4"/>
      <c r="J364" s="4"/>
      <c r="K364" s="4"/>
      <c r="L364" s="61"/>
      <c r="M364" s="61"/>
      <c r="N364" s="61"/>
      <c r="O364" s="4"/>
      <c r="P364" s="4" t="str">
        <f t="shared" si="5"/>
        <v/>
      </c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3:26" x14ac:dyDescent="0.25">
      <c r="C365" s="4"/>
      <c r="D365" s="4"/>
      <c r="E365" s="4"/>
      <c r="F365" s="4"/>
      <c r="G365" s="4"/>
      <c r="H365" s="4"/>
      <c r="I365" s="4"/>
      <c r="J365" s="4"/>
      <c r="K365" s="4"/>
      <c r="L365" s="61"/>
      <c r="M365" s="61"/>
      <c r="N365" s="61"/>
      <c r="O365" s="4"/>
      <c r="P365" s="4" t="str">
        <f t="shared" si="5"/>
        <v/>
      </c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3:26" x14ac:dyDescent="0.25">
      <c r="C366" s="4"/>
      <c r="D366" s="4"/>
      <c r="E366" s="4"/>
      <c r="F366" s="4"/>
      <c r="G366" s="4"/>
      <c r="H366" s="4"/>
      <c r="I366" s="4"/>
      <c r="J366" s="4"/>
      <c r="K366" s="4"/>
      <c r="L366" s="61"/>
      <c r="M366" s="61"/>
      <c r="N366" s="61"/>
      <c r="O366" s="4"/>
      <c r="P366" s="4" t="str">
        <f t="shared" si="5"/>
        <v/>
      </c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3:26" x14ac:dyDescent="0.25">
      <c r="C367" s="4"/>
      <c r="D367" s="4"/>
      <c r="E367" s="4"/>
      <c r="F367" s="4"/>
      <c r="G367" s="4"/>
      <c r="H367" s="4"/>
      <c r="I367" s="4"/>
      <c r="J367" s="4"/>
      <c r="K367" s="4"/>
      <c r="L367" s="61"/>
      <c r="M367" s="61"/>
      <c r="N367" s="61"/>
      <c r="O367" s="4"/>
      <c r="P367" s="4" t="str">
        <f t="shared" si="5"/>
        <v/>
      </c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3:26" x14ac:dyDescent="0.25">
      <c r="C368" s="4"/>
      <c r="D368" s="4"/>
      <c r="E368" s="4"/>
      <c r="F368" s="4"/>
      <c r="G368" s="4"/>
      <c r="H368" s="4"/>
      <c r="I368" s="4"/>
      <c r="J368" s="4"/>
      <c r="K368" s="4"/>
      <c r="L368" s="61"/>
      <c r="M368" s="61"/>
      <c r="N368" s="61"/>
      <c r="O368" s="4"/>
      <c r="P368" s="4" t="str">
        <f t="shared" si="5"/>
        <v/>
      </c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3:26" x14ac:dyDescent="0.25">
      <c r="C369" s="4"/>
      <c r="D369" s="4"/>
      <c r="E369" s="4"/>
      <c r="F369" s="4"/>
      <c r="G369" s="4"/>
      <c r="H369" s="4"/>
      <c r="I369" s="4"/>
      <c r="J369" s="4"/>
      <c r="K369" s="4"/>
      <c r="L369" s="61"/>
      <c r="M369" s="61"/>
      <c r="N369" s="61"/>
      <c r="O369" s="4"/>
      <c r="P369" s="4" t="str">
        <f t="shared" si="5"/>
        <v/>
      </c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3:26" x14ac:dyDescent="0.25">
      <c r="C370" s="4"/>
      <c r="D370" s="4"/>
      <c r="E370" s="4"/>
      <c r="F370" s="4"/>
      <c r="G370" s="4"/>
      <c r="H370" s="4"/>
      <c r="I370" s="4"/>
      <c r="J370" s="4"/>
      <c r="K370" s="4"/>
      <c r="L370" s="61"/>
      <c r="M370" s="61"/>
      <c r="N370" s="61"/>
      <c r="O370" s="4"/>
      <c r="P370" s="4" t="str">
        <f t="shared" si="5"/>
        <v/>
      </c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3:26" x14ac:dyDescent="0.25">
      <c r="C371" s="4"/>
      <c r="D371" s="4"/>
      <c r="E371" s="4"/>
      <c r="F371" s="4"/>
      <c r="G371" s="4"/>
      <c r="H371" s="4"/>
      <c r="I371" s="4"/>
      <c r="J371" s="4"/>
      <c r="K371" s="4"/>
      <c r="L371" s="61"/>
      <c r="M371" s="61"/>
      <c r="N371" s="61"/>
      <c r="O371" s="4"/>
      <c r="P371" s="4" t="str">
        <f t="shared" si="5"/>
        <v/>
      </c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3:26" x14ac:dyDescent="0.25">
      <c r="C372" s="4"/>
      <c r="D372" s="4"/>
      <c r="E372" s="4"/>
      <c r="F372" s="4"/>
      <c r="G372" s="4"/>
      <c r="H372" s="4"/>
      <c r="I372" s="4"/>
      <c r="J372" s="4"/>
      <c r="K372" s="4"/>
      <c r="L372" s="61"/>
      <c r="M372" s="61"/>
      <c r="N372" s="61"/>
      <c r="O372" s="4"/>
      <c r="P372" s="4" t="str">
        <f t="shared" si="5"/>
        <v/>
      </c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3:26" x14ac:dyDescent="0.25">
      <c r="C373" s="4"/>
      <c r="D373" s="4"/>
      <c r="E373" s="4"/>
      <c r="F373" s="4"/>
      <c r="G373" s="4"/>
      <c r="H373" s="4"/>
      <c r="I373" s="4"/>
      <c r="J373" s="4"/>
      <c r="K373" s="4"/>
      <c r="L373" s="61"/>
      <c r="M373" s="61"/>
      <c r="N373" s="61"/>
      <c r="O373" s="4"/>
      <c r="P373" s="4" t="str">
        <f t="shared" si="5"/>
        <v/>
      </c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3:26" x14ac:dyDescent="0.25">
      <c r="C374" s="4"/>
      <c r="D374" s="4"/>
      <c r="E374" s="4"/>
      <c r="F374" s="4"/>
      <c r="G374" s="4"/>
      <c r="H374" s="4"/>
      <c r="I374" s="4"/>
      <c r="J374" s="4"/>
      <c r="K374" s="4"/>
      <c r="L374" s="61"/>
      <c r="M374" s="61"/>
      <c r="N374" s="61"/>
      <c r="O374" s="4"/>
      <c r="P374" s="4" t="str">
        <f t="shared" si="5"/>
        <v/>
      </c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3:26" x14ac:dyDescent="0.25">
      <c r="C375" s="4"/>
      <c r="D375" s="4"/>
      <c r="E375" s="4"/>
      <c r="F375" s="4"/>
      <c r="G375" s="4"/>
      <c r="H375" s="4"/>
      <c r="I375" s="4"/>
      <c r="J375" s="4"/>
      <c r="K375" s="4"/>
      <c r="L375" s="61"/>
      <c r="M375" s="61"/>
      <c r="N375" s="61"/>
      <c r="O375" s="4"/>
      <c r="P375" s="4" t="str">
        <f t="shared" si="5"/>
        <v/>
      </c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3:26" x14ac:dyDescent="0.25">
      <c r="C376" s="4"/>
      <c r="D376" s="4"/>
      <c r="E376" s="4"/>
      <c r="F376" s="4"/>
      <c r="G376" s="4"/>
      <c r="H376" s="4"/>
      <c r="I376" s="4"/>
      <c r="J376" s="4"/>
      <c r="K376" s="4"/>
      <c r="L376" s="61"/>
      <c r="M376" s="61"/>
      <c r="N376" s="61"/>
      <c r="O376" s="4"/>
      <c r="P376" s="4" t="str">
        <f t="shared" si="5"/>
        <v/>
      </c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3:26" x14ac:dyDescent="0.25">
      <c r="C377" s="4"/>
      <c r="D377" s="4"/>
      <c r="E377" s="4"/>
      <c r="F377" s="4"/>
      <c r="G377" s="4"/>
      <c r="H377" s="4"/>
      <c r="I377" s="4"/>
      <c r="J377" s="4"/>
      <c r="K377" s="4"/>
      <c r="L377" s="61"/>
      <c r="M377" s="61"/>
      <c r="N377" s="61"/>
      <c r="O377" s="4"/>
      <c r="P377" s="4" t="str">
        <f t="shared" si="5"/>
        <v/>
      </c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3:26" x14ac:dyDescent="0.25">
      <c r="C378" s="4"/>
      <c r="D378" s="4"/>
      <c r="E378" s="4"/>
      <c r="F378" s="4"/>
      <c r="G378" s="4"/>
      <c r="H378" s="4"/>
      <c r="I378" s="4"/>
      <c r="J378" s="4"/>
      <c r="K378" s="4"/>
      <c r="L378" s="61"/>
      <c r="M378" s="61"/>
      <c r="N378" s="61"/>
      <c r="O378" s="4"/>
      <c r="P378" s="4" t="str">
        <f t="shared" si="5"/>
        <v/>
      </c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3:26" x14ac:dyDescent="0.25">
      <c r="C379" s="4"/>
      <c r="D379" s="4"/>
      <c r="E379" s="4"/>
      <c r="F379" s="4"/>
      <c r="G379" s="4"/>
      <c r="H379" s="4"/>
      <c r="I379" s="4"/>
      <c r="J379" s="4"/>
      <c r="K379" s="4"/>
      <c r="L379" s="61"/>
      <c r="M379" s="61"/>
      <c r="N379" s="61"/>
      <c r="O379" s="4"/>
      <c r="P379" s="4" t="str">
        <f t="shared" si="5"/>
        <v/>
      </c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3:26" x14ac:dyDescent="0.25">
      <c r="C380" s="4"/>
      <c r="D380" s="4"/>
      <c r="E380" s="4"/>
      <c r="F380" s="4"/>
      <c r="G380" s="4"/>
      <c r="H380" s="4"/>
      <c r="I380" s="4"/>
      <c r="J380" s="4"/>
      <c r="K380" s="4"/>
      <c r="L380" s="61"/>
      <c r="M380" s="61"/>
      <c r="N380" s="61"/>
      <c r="O380" s="4"/>
      <c r="P380" s="4" t="str">
        <f t="shared" si="5"/>
        <v/>
      </c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3:26" x14ac:dyDescent="0.25">
      <c r="C381" s="4"/>
      <c r="D381" s="4"/>
      <c r="E381" s="4"/>
      <c r="F381" s="4"/>
      <c r="G381" s="4"/>
      <c r="H381" s="4"/>
      <c r="I381" s="4"/>
      <c r="J381" s="4"/>
      <c r="K381" s="4"/>
      <c r="L381" s="61"/>
      <c r="M381" s="61"/>
      <c r="N381" s="61"/>
      <c r="O381" s="4"/>
      <c r="P381" s="4" t="str">
        <f t="shared" si="5"/>
        <v/>
      </c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3:26" x14ac:dyDescent="0.25">
      <c r="C382" s="4"/>
      <c r="D382" s="4"/>
      <c r="E382" s="4"/>
      <c r="F382" s="4"/>
      <c r="G382" s="4"/>
      <c r="H382" s="4"/>
      <c r="I382" s="4"/>
      <c r="J382" s="4"/>
      <c r="K382" s="4"/>
      <c r="L382" s="61"/>
      <c r="M382" s="61"/>
      <c r="N382" s="61"/>
      <c r="O382" s="4"/>
      <c r="P382" s="4" t="str">
        <f t="shared" si="5"/>
        <v/>
      </c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3:26" x14ac:dyDescent="0.25">
      <c r="C383" s="4"/>
      <c r="D383" s="4"/>
      <c r="E383" s="4"/>
      <c r="F383" s="4"/>
      <c r="G383" s="4"/>
      <c r="H383" s="4"/>
      <c r="I383" s="4"/>
      <c r="J383" s="4"/>
      <c r="K383" s="4"/>
      <c r="L383" s="61"/>
      <c r="M383" s="61"/>
      <c r="N383" s="61"/>
      <c r="O383" s="4"/>
      <c r="P383" s="4" t="str">
        <f t="shared" si="5"/>
        <v/>
      </c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3:26" x14ac:dyDescent="0.25">
      <c r="C384" s="4"/>
      <c r="D384" s="4"/>
      <c r="E384" s="4"/>
      <c r="F384" s="4"/>
      <c r="G384" s="4"/>
      <c r="H384" s="4"/>
      <c r="I384" s="4"/>
      <c r="J384" s="4"/>
      <c r="K384" s="4"/>
      <c r="L384" s="61"/>
      <c r="M384" s="61"/>
      <c r="N384" s="61"/>
      <c r="O384" s="4"/>
      <c r="P384" s="4" t="str">
        <f t="shared" si="5"/>
        <v/>
      </c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3:26" x14ac:dyDescent="0.25">
      <c r="C385" s="4"/>
      <c r="D385" s="4"/>
      <c r="E385" s="4"/>
      <c r="F385" s="4"/>
      <c r="G385" s="4"/>
      <c r="H385" s="4"/>
      <c r="I385" s="4"/>
      <c r="J385" s="4"/>
      <c r="K385" s="4"/>
      <c r="L385" s="61"/>
      <c r="M385" s="61"/>
      <c r="N385" s="61"/>
      <c r="O385" s="4"/>
      <c r="P385" s="4" t="str">
        <f t="shared" si="5"/>
        <v/>
      </c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3:26" x14ac:dyDescent="0.25">
      <c r="C386" s="4"/>
      <c r="D386" s="4"/>
      <c r="E386" s="4"/>
      <c r="F386" s="4"/>
      <c r="G386" s="4"/>
      <c r="H386" s="4"/>
      <c r="I386" s="4"/>
      <c r="J386" s="4"/>
      <c r="K386" s="4"/>
      <c r="L386" s="61"/>
      <c r="M386" s="61"/>
      <c r="N386" s="61"/>
      <c r="O386" s="4"/>
      <c r="P386" s="4" t="str">
        <f t="shared" si="5"/>
        <v/>
      </c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3:26" x14ac:dyDescent="0.25">
      <c r="C387" s="4"/>
      <c r="D387" s="4"/>
      <c r="E387" s="4"/>
      <c r="F387" s="4"/>
      <c r="G387" s="4"/>
      <c r="H387" s="4"/>
      <c r="I387" s="4"/>
      <c r="J387" s="4"/>
      <c r="K387" s="4"/>
      <c r="L387" s="61"/>
      <c r="M387" s="61"/>
      <c r="N387" s="61"/>
      <c r="O387" s="4"/>
      <c r="P387" s="4" t="str">
        <f t="shared" si="5"/>
        <v/>
      </c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3:26" x14ac:dyDescent="0.25">
      <c r="P388" t="str">
        <f t="shared" si="5"/>
        <v/>
      </c>
    </row>
    <row r="389" spans="3:26" x14ac:dyDescent="0.25">
      <c r="P389" t="str">
        <f t="shared" si="5"/>
        <v/>
      </c>
    </row>
    <row r="390" spans="3:26" x14ac:dyDescent="0.25">
      <c r="P390" t="str">
        <f t="shared" si="5"/>
        <v/>
      </c>
    </row>
    <row r="391" spans="3:26" x14ac:dyDescent="0.25">
      <c r="P391" t="str">
        <f t="shared" ref="P391:P454" si="6">IF(I391="","",SUMIFS(OrderItems_Qty,OrderItems_Type,"PURCHASE",OrderItems_SKU,I391)-SUMIFS(OrderItems_Qty,OrderItems_Type,"SALE",OrderItems_SKU,I391))</f>
        <v/>
      </c>
    </row>
    <row r="392" spans="3:26" x14ac:dyDescent="0.25">
      <c r="P392" t="str">
        <f t="shared" si="6"/>
        <v/>
      </c>
    </row>
    <row r="393" spans="3:26" x14ac:dyDescent="0.25">
      <c r="P393" t="str">
        <f t="shared" si="6"/>
        <v/>
      </c>
    </row>
    <row r="394" spans="3:26" x14ac:dyDescent="0.25">
      <c r="P394" t="str">
        <f t="shared" si="6"/>
        <v/>
      </c>
    </row>
    <row r="395" spans="3:26" x14ac:dyDescent="0.25">
      <c r="P395" t="str">
        <f t="shared" si="6"/>
        <v/>
      </c>
    </row>
    <row r="396" spans="3:26" x14ac:dyDescent="0.25">
      <c r="P396" t="str">
        <f t="shared" si="6"/>
        <v/>
      </c>
    </row>
    <row r="397" spans="3:26" x14ac:dyDescent="0.25">
      <c r="P397" t="str">
        <f t="shared" si="6"/>
        <v/>
      </c>
    </row>
    <row r="398" spans="3:26" x14ac:dyDescent="0.25">
      <c r="P398" t="str">
        <f t="shared" si="6"/>
        <v/>
      </c>
    </row>
    <row r="399" spans="3:26" x14ac:dyDescent="0.25">
      <c r="P399" t="str">
        <f t="shared" si="6"/>
        <v/>
      </c>
    </row>
    <row r="400" spans="3:26" x14ac:dyDescent="0.25">
      <c r="P400" t="str">
        <f t="shared" si="6"/>
        <v/>
      </c>
    </row>
    <row r="401" spans="16:16" x14ac:dyDescent="0.25">
      <c r="P401" t="str">
        <f t="shared" si="6"/>
        <v/>
      </c>
    </row>
    <row r="402" spans="16:16" x14ac:dyDescent="0.25">
      <c r="P402" t="str">
        <f t="shared" si="6"/>
        <v/>
      </c>
    </row>
    <row r="403" spans="16:16" x14ac:dyDescent="0.25">
      <c r="P403" t="str">
        <f t="shared" si="6"/>
        <v/>
      </c>
    </row>
    <row r="404" spans="16:16" x14ac:dyDescent="0.25">
      <c r="P404" t="str">
        <f t="shared" si="6"/>
        <v/>
      </c>
    </row>
    <row r="405" spans="16:16" x14ac:dyDescent="0.25">
      <c r="P405" t="str">
        <f t="shared" si="6"/>
        <v/>
      </c>
    </row>
    <row r="406" spans="16:16" x14ac:dyDescent="0.25">
      <c r="P406" t="str">
        <f t="shared" si="6"/>
        <v/>
      </c>
    </row>
    <row r="407" spans="16:16" x14ac:dyDescent="0.25">
      <c r="P407" t="str">
        <f t="shared" si="6"/>
        <v/>
      </c>
    </row>
    <row r="408" spans="16:16" x14ac:dyDescent="0.25">
      <c r="P408" t="str">
        <f t="shared" si="6"/>
        <v/>
      </c>
    </row>
    <row r="409" spans="16:16" x14ac:dyDescent="0.25">
      <c r="P409" t="str">
        <f t="shared" si="6"/>
        <v/>
      </c>
    </row>
    <row r="410" spans="16:16" x14ac:dyDescent="0.25">
      <c r="P410" t="str">
        <f t="shared" si="6"/>
        <v/>
      </c>
    </row>
    <row r="411" spans="16:16" x14ac:dyDescent="0.25">
      <c r="P411" t="str">
        <f t="shared" si="6"/>
        <v/>
      </c>
    </row>
    <row r="412" spans="16:16" x14ac:dyDescent="0.25">
      <c r="P412" t="str">
        <f t="shared" si="6"/>
        <v/>
      </c>
    </row>
    <row r="413" spans="16:16" x14ac:dyDescent="0.25">
      <c r="P413" t="str">
        <f t="shared" si="6"/>
        <v/>
      </c>
    </row>
    <row r="414" spans="16:16" x14ac:dyDescent="0.25">
      <c r="P414" t="str">
        <f t="shared" si="6"/>
        <v/>
      </c>
    </row>
    <row r="415" spans="16:16" x14ac:dyDescent="0.25">
      <c r="P415" t="str">
        <f t="shared" si="6"/>
        <v/>
      </c>
    </row>
    <row r="416" spans="16:16" x14ac:dyDescent="0.25">
      <c r="P416" t="str">
        <f t="shared" si="6"/>
        <v/>
      </c>
    </row>
    <row r="417" spans="16:16" x14ac:dyDescent="0.25">
      <c r="P417" t="str">
        <f t="shared" si="6"/>
        <v/>
      </c>
    </row>
    <row r="418" spans="16:16" x14ac:dyDescent="0.25">
      <c r="P418" t="str">
        <f t="shared" si="6"/>
        <v/>
      </c>
    </row>
    <row r="419" spans="16:16" x14ac:dyDescent="0.25">
      <c r="P419" t="str">
        <f t="shared" si="6"/>
        <v/>
      </c>
    </row>
    <row r="420" spans="16:16" x14ac:dyDescent="0.25">
      <c r="P420" t="str">
        <f t="shared" si="6"/>
        <v/>
      </c>
    </row>
    <row r="421" spans="16:16" x14ac:dyDescent="0.25">
      <c r="P421" t="str">
        <f t="shared" si="6"/>
        <v/>
      </c>
    </row>
    <row r="422" spans="16:16" x14ac:dyDescent="0.25">
      <c r="P422" t="str">
        <f t="shared" si="6"/>
        <v/>
      </c>
    </row>
    <row r="423" spans="16:16" x14ac:dyDescent="0.25">
      <c r="P423" t="str">
        <f t="shared" si="6"/>
        <v/>
      </c>
    </row>
    <row r="424" spans="16:16" x14ac:dyDescent="0.25">
      <c r="P424" t="str">
        <f t="shared" si="6"/>
        <v/>
      </c>
    </row>
    <row r="425" spans="16:16" x14ac:dyDescent="0.25">
      <c r="P425" t="str">
        <f t="shared" si="6"/>
        <v/>
      </c>
    </row>
    <row r="426" spans="16:16" x14ac:dyDescent="0.25">
      <c r="P426" t="str">
        <f t="shared" si="6"/>
        <v/>
      </c>
    </row>
    <row r="427" spans="16:16" x14ac:dyDescent="0.25">
      <c r="P427" t="str">
        <f t="shared" si="6"/>
        <v/>
      </c>
    </row>
    <row r="428" spans="16:16" x14ac:dyDescent="0.25">
      <c r="P428" t="str">
        <f t="shared" si="6"/>
        <v/>
      </c>
    </row>
    <row r="429" spans="16:16" x14ac:dyDescent="0.25">
      <c r="P429" t="str">
        <f t="shared" si="6"/>
        <v/>
      </c>
    </row>
    <row r="430" spans="16:16" x14ac:dyDescent="0.25">
      <c r="P430" t="str">
        <f t="shared" si="6"/>
        <v/>
      </c>
    </row>
    <row r="431" spans="16:16" x14ac:dyDescent="0.25">
      <c r="P431" t="str">
        <f t="shared" si="6"/>
        <v/>
      </c>
    </row>
    <row r="432" spans="16:16" x14ac:dyDescent="0.25">
      <c r="P432" t="str">
        <f t="shared" si="6"/>
        <v/>
      </c>
    </row>
    <row r="433" spans="16:16" x14ac:dyDescent="0.25">
      <c r="P433" t="str">
        <f t="shared" si="6"/>
        <v/>
      </c>
    </row>
    <row r="434" spans="16:16" x14ac:dyDescent="0.25">
      <c r="P434" t="str">
        <f t="shared" si="6"/>
        <v/>
      </c>
    </row>
    <row r="435" spans="16:16" x14ac:dyDescent="0.25">
      <c r="P435" t="str">
        <f t="shared" si="6"/>
        <v/>
      </c>
    </row>
    <row r="436" spans="16:16" x14ac:dyDescent="0.25">
      <c r="P436" t="str">
        <f t="shared" si="6"/>
        <v/>
      </c>
    </row>
    <row r="437" spans="16:16" x14ac:dyDescent="0.25">
      <c r="P437" t="str">
        <f t="shared" si="6"/>
        <v/>
      </c>
    </row>
    <row r="438" spans="16:16" x14ac:dyDescent="0.25">
      <c r="P438" t="str">
        <f t="shared" si="6"/>
        <v/>
      </c>
    </row>
    <row r="439" spans="16:16" x14ac:dyDescent="0.25">
      <c r="P439" t="str">
        <f t="shared" si="6"/>
        <v/>
      </c>
    </row>
    <row r="440" spans="16:16" x14ac:dyDescent="0.25">
      <c r="P440" t="str">
        <f t="shared" si="6"/>
        <v/>
      </c>
    </row>
    <row r="441" spans="16:16" x14ac:dyDescent="0.25">
      <c r="P441" t="str">
        <f t="shared" si="6"/>
        <v/>
      </c>
    </row>
    <row r="442" spans="16:16" x14ac:dyDescent="0.25">
      <c r="P442" t="str">
        <f t="shared" si="6"/>
        <v/>
      </c>
    </row>
    <row r="443" spans="16:16" x14ac:dyDescent="0.25">
      <c r="P443" t="str">
        <f t="shared" si="6"/>
        <v/>
      </c>
    </row>
    <row r="444" spans="16:16" x14ac:dyDescent="0.25">
      <c r="P444" t="str">
        <f t="shared" si="6"/>
        <v/>
      </c>
    </row>
    <row r="445" spans="16:16" x14ac:dyDescent="0.25">
      <c r="P445" t="str">
        <f t="shared" si="6"/>
        <v/>
      </c>
    </row>
    <row r="446" spans="16:16" x14ac:dyDescent="0.25">
      <c r="P446" t="str">
        <f t="shared" si="6"/>
        <v/>
      </c>
    </row>
    <row r="447" spans="16:16" x14ac:dyDescent="0.25">
      <c r="P447" t="str">
        <f t="shared" si="6"/>
        <v/>
      </c>
    </row>
    <row r="448" spans="16:16" x14ac:dyDescent="0.25">
      <c r="P448" t="str">
        <f t="shared" si="6"/>
        <v/>
      </c>
    </row>
    <row r="449" spans="16:16" x14ac:dyDescent="0.25">
      <c r="P449" t="str">
        <f t="shared" si="6"/>
        <v/>
      </c>
    </row>
    <row r="450" spans="16:16" x14ac:dyDescent="0.25">
      <c r="P450" t="str">
        <f t="shared" si="6"/>
        <v/>
      </c>
    </row>
    <row r="451" spans="16:16" x14ac:dyDescent="0.25">
      <c r="P451" t="str">
        <f t="shared" si="6"/>
        <v/>
      </c>
    </row>
    <row r="452" spans="16:16" x14ac:dyDescent="0.25">
      <c r="P452" t="str">
        <f t="shared" si="6"/>
        <v/>
      </c>
    </row>
    <row r="453" spans="16:16" x14ac:dyDescent="0.25">
      <c r="P453" t="str">
        <f t="shared" si="6"/>
        <v/>
      </c>
    </row>
    <row r="454" spans="16:16" x14ac:dyDescent="0.25">
      <c r="P454" t="str">
        <f t="shared" si="6"/>
        <v/>
      </c>
    </row>
    <row r="455" spans="16:16" x14ac:dyDescent="0.25">
      <c r="P455" t="str">
        <f t="shared" ref="P455:P518" si="7">IF(I455="","",SUMIFS(OrderItems_Qty,OrderItems_Type,"PURCHASE",OrderItems_SKU,I455)-SUMIFS(OrderItems_Qty,OrderItems_Type,"SALE",OrderItems_SKU,I455))</f>
        <v/>
      </c>
    </row>
    <row r="456" spans="16:16" x14ac:dyDescent="0.25">
      <c r="P456" t="str">
        <f t="shared" si="7"/>
        <v/>
      </c>
    </row>
    <row r="457" spans="16:16" x14ac:dyDescent="0.25">
      <c r="P457" t="str">
        <f t="shared" si="7"/>
        <v/>
      </c>
    </row>
    <row r="458" spans="16:16" x14ac:dyDescent="0.25">
      <c r="P458" t="str">
        <f t="shared" si="7"/>
        <v/>
      </c>
    </row>
    <row r="459" spans="16:16" x14ac:dyDescent="0.25">
      <c r="P459" t="str">
        <f t="shared" si="7"/>
        <v/>
      </c>
    </row>
    <row r="460" spans="16:16" x14ac:dyDescent="0.25">
      <c r="P460" t="str">
        <f t="shared" si="7"/>
        <v/>
      </c>
    </row>
    <row r="461" spans="16:16" x14ac:dyDescent="0.25">
      <c r="P461" t="str">
        <f t="shared" si="7"/>
        <v/>
      </c>
    </row>
    <row r="462" spans="16:16" x14ac:dyDescent="0.25">
      <c r="P462" t="str">
        <f t="shared" si="7"/>
        <v/>
      </c>
    </row>
    <row r="463" spans="16:16" x14ac:dyDescent="0.25">
      <c r="P463" t="str">
        <f t="shared" si="7"/>
        <v/>
      </c>
    </row>
    <row r="464" spans="16:16" x14ac:dyDescent="0.25">
      <c r="P464" t="str">
        <f t="shared" si="7"/>
        <v/>
      </c>
    </row>
    <row r="465" spans="16:16" x14ac:dyDescent="0.25">
      <c r="P465" t="str">
        <f t="shared" si="7"/>
        <v/>
      </c>
    </row>
    <row r="466" spans="16:16" x14ac:dyDescent="0.25">
      <c r="P466" t="str">
        <f t="shared" si="7"/>
        <v/>
      </c>
    </row>
    <row r="467" spans="16:16" x14ac:dyDescent="0.25">
      <c r="P467" t="str">
        <f t="shared" si="7"/>
        <v/>
      </c>
    </row>
    <row r="468" spans="16:16" x14ac:dyDescent="0.25">
      <c r="P468" t="str">
        <f t="shared" si="7"/>
        <v/>
      </c>
    </row>
    <row r="469" spans="16:16" x14ac:dyDescent="0.25">
      <c r="P469" t="str">
        <f t="shared" si="7"/>
        <v/>
      </c>
    </row>
    <row r="470" spans="16:16" x14ac:dyDescent="0.25">
      <c r="P470" t="str">
        <f t="shared" si="7"/>
        <v/>
      </c>
    </row>
    <row r="471" spans="16:16" x14ac:dyDescent="0.25">
      <c r="P471" t="str">
        <f t="shared" si="7"/>
        <v/>
      </c>
    </row>
    <row r="472" spans="16:16" x14ac:dyDescent="0.25">
      <c r="P472" t="str">
        <f t="shared" si="7"/>
        <v/>
      </c>
    </row>
    <row r="473" spans="16:16" x14ac:dyDescent="0.25">
      <c r="P473" t="str">
        <f t="shared" si="7"/>
        <v/>
      </c>
    </row>
    <row r="474" spans="16:16" x14ac:dyDescent="0.25">
      <c r="P474" t="str">
        <f t="shared" si="7"/>
        <v/>
      </c>
    </row>
    <row r="475" spans="16:16" x14ac:dyDescent="0.25">
      <c r="P475" t="str">
        <f t="shared" si="7"/>
        <v/>
      </c>
    </row>
    <row r="476" spans="16:16" x14ac:dyDescent="0.25">
      <c r="P476" t="str">
        <f t="shared" si="7"/>
        <v/>
      </c>
    </row>
    <row r="477" spans="16:16" x14ac:dyDescent="0.25">
      <c r="P477" t="str">
        <f t="shared" si="7"/>
        <v/>
      </c>
    </row>
    <row r="478" spans="16:16" x14ac:dyDescent="0.25">
      <c r="P478" t="str">
        <f t="shared" si="7"/>
        <v/>
      </c>
    </row>
    <row r="479" spans="16:16" x14ac:dyDescent="0.25">
      <c r="P479" t="str">
        <f t="shared" si="7"/>
        <v/>
      </c>
    </row>
    <row r="480" spans="16:16" x14ac:dyDescent="0.25">
      <c r="P480" t="str">
        <f t="shared" si="7"/>
        <v/>
      </c>
    </row>
    <row r="481" spans="16:16" x14ac:dyDescent="0.25">
      <c r="P481" t="str">
        <f t="shared" si="7"/>
        <v/>
      </c>
    </row>
    <row r="482" spans="16:16" x14ac:dyDescent="0.25">
      <c r="P482" t="str">
        <f t="shared" si="7"/>
        <v/>
      </c>
    </row>
    <row r="483" spans="16:16" x14ac:dyDescent="0.25">
      <c r="P483" t="str">
        <f t="shared" si="7"/>
        <v/>
      </c>
    </row>
    <row r="484" spans="16:16" x14ac:dyDescent="0.25">
      <c r="P484" t="str">
        <f t="shared" si="7"/>
        <v/>
      </c>
    </row>
    <row r="485" spans="16:16" x14ac:dyDescent="0.25">
      <c r="P485" t="str">
        <f t="shared" si="7"/>
        <v/>
      </c>
    </row>
    <row r="486" spans="16:16" x14ac:dyDescent="0.25">
      <c r="P486" t="str">
        <f t="shared" si="7"/>
        <v/>
      </c>
    </row>
    <row r="487" spans="16:16" x14ac:dyDescent="0.25">
      <c r="P487" t="str">
        <f t="shared" si="7"/>
        <v/>
      </c>
    </row>
    <row r="488" spans="16:16" x14ac:dyDescent="0.25">
      <c r="P488" t="str">
        <f t="shared" si="7"/>
        <v/>
      </c>
    </row>
    <row r="489" spans="16:16" x14ac:dyDescent="0.25">
      <c r="P489" t="str">
        <f t="shared" si="7"/>
        <v/>
      </c>
    </row>
    <row r="490" spans="16:16" x14ac:dyDescent="0.25">
      <c r="P490" t="str">
        <f t="shared" si="7"/>
        <v/>
      </c>
    </row>
    <row r="491" spans="16:16" x14ac:dyDescent="0.25">
      <c r="P491" t="str">
        <f t="shared" si="7"/>
        <v/>
      </c>
    </row>
    <row r="492" spans="16:16" x14ac:dyDescent="0.25">
      <c r="P492" t="str">
        <f t="shared" si="7"/>
        <v/>
      </c>
    </row>
    <row r="493" spans="16:16" x14ac:dyDescent="0.25">
      <c r="P493" t="str">
        <f t="shared" si="7"/>
        <v/>
      </c>
    </row>
    <row r="494" spans="16:16" x14ac:dyDescent="0.25">
      <c r="P494" t="str">
        <f t="shared" si="7"/>
        <v/>
      </c>
    </row>
    <row r="495" spans="16:16" x14ac:dyDescent="0.25">
      <c r="P495" t="str">
        <f t="shared" si="7"/>
        <v/>
      </c>
    </row>
    <row r="496" spans="16:16" x14ac:dyDescent="0.25">
      <c r="P496" t="str">
        <f t="shared" si="7"/>
        <v/>
      </c>
    </row>
    <row r="497" spans="16:16" x14ac:dyDescent="0.25">
      <c r="P497" t="str">
        <f t="shared" si="7"/>
        <v/>
      </c>
    </row>
    <row r="498" spans="16:16" x14ac:dyDescent="0.25">
      <c r="P498" t="str">
        <f t="shared" si="7"/>
        <v/>
      </c>
    </row>
    <row r="499" spans="16:16" x14ac:dyDescent="0.25">
      <c r="P499" t="str">
        <f t="shared" si="7"/>
        <v/>
      </c>
    </row>
    <row r="500" spans="16:16" x14ac:dyDescent="0.25">
      <c r="P500" t="str">
        <f t="shared" si="7"/>
        <v/>
      </c>
    </row>
    <row r="501" spans="16:16" x14ac:dyDescent="0.25">
      <c r="P501" t="str">
        <f t="shared" si="7"/>
        <v/>
      </c>
    </row>
    <row r="502" spans="16:16" x14ac:dyDescent="0.25">
      <c r="P502" t="str">
        <f t="shared" si="7"/>
        <v/>
      </c>
    </row>
    <row r="503" spans="16:16" x14ac:dyDescent="0.25">
      <c r="P503" t="str">
        <f t="shared" si="7"/>
        <v/>
      </c>
    </row>
    <row r="504" spans="16:16" x14ac:dyDescent="0.25">
      <c r="P504" t="str">
        <f t="shared" si="7"/>
        <v/>
      </c>
    </row>
    <row r="505" spans="16:16" x14ac:dyDescent="0.25">
      <c r="P505" t="str">
        <f t="shared" si="7"/>
        <v/>
      </c>
    </row>
    <row r="506" spans="16:16" x14ac:dyDescent="0.25">
      <c r="P506" t="str">
        <f t="shared" si="7"/>
        <v/>
      </c>
    </row>
    <row r="507" spans="16:16" x14ac:dyDescent="0.25">
      <c r="P507" t="str">
        <f t="shared" si="7"/>
        <v/>
      </c>
    </row>
    <row r="508" spans="16:16" x14ac:dyDescent="0.25">
      <c r="P508" t="str">
        <f t="shared" si="7"/>
        <v/>
      </c>
    </row>
    <row r="509" spans="16:16" x14ac:dyDescent="0.25">
      <c r="P509" t="str">
        <f t="shared" si="7"/>
        <v/>
      </c>
    </row>
    <row r="510" spans="16:16" x14ac:dyDescent="0.25">
      <c r="P510" t="str">
        <f t="shared" si="7"/>
        <v/>
      </c>
    </row>
    <row r="511" spans="16:16" x14ac:dyDescent="0.25">
      <c r="P511" t="str">
        <f t="shared" si="7"/>
        <v/>
      </c>
    </row>
    <row r="512" spans="16:16" x14ac:dyDescent="0.25">
      <c r="P512" t="str">
        <f t="shared" si="7"/>
        <v/>
      </c>
    </row>
    <row r="513" spans="16:16" x14ac:dyDescent="0.25">
      <c r="P513" t="str">
        <f t="shared" si="7"/>
        <v/>
      </c>
    </row>
    <row r="514" spans="16:16" x14ac:dyDescent="0.25">
      <c r="P514" t="str">
        <f t="shared" si="7"/>
        <v/>
      </c>
    </row>
    <row r="515" spans="16:16" x14ac:dyDescent="0.25">
      <c r="P515" t="str">
        <f t="shared" si="7"/>
        <v/>
      </c>
    </row>
    <row r="516" spans="16:16" x14ac:dyDescent="0.25">
      <c r="P516" t="str">
        <f t="shared" si="7"/>
        <v/>
      </c>
    </row>
    <row r="517" spans="16:16" x14ac:dyDescent="0.25">
      <c r="P517" t="str">
        <f t="shared" si="7"/>
        <v/>
      </c>
    </row>
    <row r="518" spans="16:16" x14ac:dyDescent="0.25">
      <c r="P518" t="str">
        <f t="shared" si="7"/>
        <v/>
      </c>
    </row>
    <row r="519" spans="16:16" x14ac:dyDescent="0.25">
      <c r="P519" t="str">
        <f t="shared" ref="P519:P582" si="8">IF(I519="","",SUMIFS(OrderItems_Qty,OrderItems_Type,"PURCHASE",OrderItems_SKU,I519)-SUMIFS(OrderItems_Qty,OrderItems_Type,"SALE",OrderItems_SKU,I519))</f>
        <v/>
      </c>
    </row>
    <row r="520" spans="16:16" x14ac:dyDescent="0.25">
      <c r="P520" t="str">
        <f t="shared" si="8"/>
        <v/>
      </c>
    </row>
    <row r="521" spans="16:16" x14ac:dyDescent="0.25">
      <c r="P521" t="str">
        <f t="shared" si="8"/>
        <v/>
      </c>
    </row>
    <row r="522" spans="16:16" x14ac:dyDescent="0.25">
      <c r="P522" t="str">
        <f t="shared" si="8"/>
        <v/>
      </c>
    </row>
    <row r="523" spans="16:16" x14ac:dyDescent="0.25">
      <c r="P523" t="str">
        <f t="shared" si="8"/>
        <v/>
      </c>
    </row>
    <row r="524" spans="16:16" x14ac:dyDescent="0.25">
      <c r="P524" t="str">
        <f t="shared" si="8"/>
        <v/>
      </c>
    </row>
    <row r="525" spans="16:16" x14ac:dyDescent="0.25">
      <c r="P525" t="str">
        <f t="shared" si="8"/>
        <v/>
      </c>
    </row>
    <row r="526" spans="16:16" x14ac:dyDescent="0.25">
      <c r="P526" t="str">
        <f t="shared" si="8"/>
        <v/>
      </c>
    </row>
    <row r="527" spans="16:16" x14ac:dyDescent="0.25">
      <c r="P527" t="str">
        <f t="shared" si="8"/>
        <v/>
      </c>
    </row>
    <row r="528" spans="16:16" x14ac:dyDescent="0.25">
      <c r="P528" t="str">
        <f t="shared" si="8"/>
        <v/>
      </c>
    </row>
    <row r="529" spans="16:16" x14ac:dyDescent="0.25">
      <c r="P529" t="str">
        <f t="shared" si="8"/>
        <v/>
      </c>
    </row>
    <row r="530" spans="16:16" x14ac:dyDescent="0.25">
      <c r="P530" t="str">
        <f t="shared" si="8"/>
        <v/>
      </c>
    </row>
    <row r="531" spans="16:16" x14ac:dyDescent="0.25">
      <c r="P531" t="str">
        <f t="shared" si="8"/>
        <v/>
      </c>
    </row>
    <row r="532" spans="16:16" x14ac:dyDescent="0.25">
      <c r="P532" t="str">
        <f t="shared" si="8"/>
        <v/>
      </c>
    </row>
    <row r="533" spans="16:16" x14ac:dyDescent="0.25">
      <c r="P533" t="str">
        <f t="shared" si="8"/>
        <v/>
      </c>
    </row>
    <row r="534" spans="16:16" x14ac:dyDescent="0.25">
      <c r="P534" t="str">
        <f t="shared" si="8"/>
        <v/>
      </c>
    </row>
    <row r="535" spans="16:16" x14ac:dyDescent="0.25">
      <c r="P535" t="str">
        <f t="shared" si="8"/>
        <v/>
      </c>
    </row>
    <row r="536" spans="16:16" x14ac:dyDescent="0.25">
      <c r="P536" t="str">
        <f t="shared" si="8"/>
        <v/>
      </c>
    </row>
    <row r="537" spans="16:16" x14ac:dyDescent="0.25">
      <c r="P537" t="str">
        <f t="shared" si="8"/>
        <v/>
      </c>
    </row>
    <row r="538" spans="16:16" x14ac:dyDescent="0.25">
      <c r="P538" t="str">
        <f t="shared" si="8"/>
        <v/>
      </c>
    </row>
    <row r="539" spans="16:16" x14ac:dyDescent="0.25">
      <c r="P539" t="str">
        <f t="shared" si="8"/>
        <v/>
      </c>
    </row>
    <row r="540" spans="16:16" x14ac:dyDescent="0.25">
      <c r="P540" t="str">
        <f t="shared" si="8"/>
        <v/>
      </c>
    </row>
    <row r="541" spans="16:16" x14ac:dyDescent="0.25">
      <c r="P541" t="str">
        <f t="shared" si="8"/>
        <v/>
      </c>
    </row>
    <row r="542" spans="16:16" x14ac:dyDescent="0.25">
      <c r="P542" t="str">
        <f t="shared" si="8"/>
        <v/>
      </c>
    </row>
    <row r="543" spans="16:16" x14ac:dyDescent="0.25">
      <c r="P543" t="str">
        <f t="shared" si="8"/>
        <v/>
      </c>
    </row>
    <row r="544" spans="16:16" x14ac:dyDescent="0.25">
      <c r="P544" t="str">
        <f t="shared" si="8"/>
        <v/>
      </c>
    </row>
    <row r="545" spans="16:16" x14ac:dyDescent="0.25">
      <c r="P545" t="str">
        <f t="shared" si="8"/>
        <v/>
      </c>
    </row>
    <row r="546" spans="16:16" x14ac:dyDescent="0.25">
      <c r="P546" t="str">
        <f t="shared" si="8"/>
        <v/>
      </c>
    </row>
    <row r="547" spans="16:16" x14ac:dyDescent="0.25">
      <c r="P547" t="str">
        <f t="shared" si="8"/>
        <v/>
      </c>
    </row>
    <row r="548" spans="16:16" x14ac:dyDescent="0.25">
      <c r="P548" t="str">
        <f t="shared" si="8"/>
        <v/>
      </c>
    </row>
    <row r="549" spans="16:16" x14ac:dyDescent="0.25">
      <c r="P549" t="str">
        <f t="shared" si="8"/>
        <v/>
      </c>
    </row>
    <row r="550" spans="16:16" x14ac:dyDescent="0.25">
      <c r="P550" t="str">
        <f t="shared" si="8"/>
        <v/>
      </c>
    </row>
    <row r="551" spans="16:16" x14ac:dyDescent="0.25">
      <c r="P551" t="str">
        <f t="shared" si="8"/>
        <v/>
      </c>
    </row>
    <row r="552" spans="16:16" x14ac:dyDescent="0.25">
      <c r="P552" t="str">
        <f t="shared" si="8"/>
        <v/>
      </c>
    </row>
    <row r="553" spans="16:16" x14ac:dyDescent="0.25">
      <c r="P553" t="str">
        <f t="shared" si="8"/>
        <v/>
      </c>
    </row>
    <row r="554" spans="16:16" x14ac:dyDescent="0.25">
      <c r="P554" t="str">
        <f t="shared" si="8"/>
        <v/>
      </c>
    </row>
    <row r="555" spans="16:16" x14ac:dyDescent="0.25">
      <c r="P555" t="str">
        <f t="shared" si="8"/>
        <v/>
      </c>
    </row>
    <row r="556" spans="16:16" x14ac:dyDescent="0.25">
      <c r="P556" t="str">
        <f t="shared" si="8"/>
        <v/>
      </c>
    </row>
    <row r="557" spans="16:16" x14ac:dyDescent="0.25">
      <c r="P557" t="str">
        <f t="shared" si="8"/>
        <v/>
      </c>
    </row>
    <row r="558" spans="16:16" x14ac:dyDescent="0.25">
      <c r="P558" t="str">
        <f t="shared" si="8"/>
        <v/>
      </c>
    </row>
    <row r="559" spans="16:16" x14ac:dyDescent="0.25">
      <c r="P559" t="str">
        <f t="shared" si="8"/>
        <v/>
      </c>
    </row>
    <row r="560" spans="16:16" x14ac:dyDescent="0.25">
      <c r="P560" t="str">
        <f t="shared" si="8"/>
        <v/>
      </c>
    </row>
    <row r="561" spans="16:16" x14ac:dyDescent="0.25">
      <c r="P561" t="str">
        <f t="shared" si="8"/>
        <v/>
      </c>
    </row>
    <row r="562" spans="16:16" x14ac:dyDescent="0.25">
      <c r="P562" t="str">
        <f t="shared" si="8"/>
        <v/>
      </c>
    </row>
    <row r="563" spans="16:16" x14ac:dyDescent="0.25">
      <c r="P563" t="str">
        <f t="shared" si="8"/>
        <v/>
      </c>
    </row>
    <row r="564" spans="16:16" x14ac:dyDescent="0.25">
      <c r="P564" t="str">
        <f t="shared" si="8"/>
        <v/>
      </c>
    </row>
    <row r="565" spans="16:16" x14ac:dyDescent="0.25">
      <c r="P565" t="str">
        <f t="shared" si="8"/>
        <v/>
      </c>
    </row>
    <row r="566" spans="16:16" x14ac:dyDescent="0.25">
      <c r="P566" t="str">
        <f t="shared" si="8"/>
        <v/>
      </c>
    </row>
    <row r="567" spans="16:16" x14ac:dyDescent="0.25">
      <c r="P567" t="str">
        <f t="shared" si="8"/>
        <v/>
      </c>
    </row>
    <row r="568" spans="16:16" x14ac:dyDescent="0.25">
      <c r="P568" t="str">
        <f t="shared" si="8"/>
        <v/>
      </c>
    </row>
    <row r="569" spans="16:16" x14ac:dyDescent="0.25">
      <c r="P569" t="str">
        <f t="shared" si="8"/>
        <v/>
      </c>
    </row>
    <row r="570" spans="16:16" x14ac:dyDescent="0.25">
      <c r="P570" t="str">
        <f t="shared" si="8"/>
        <v/>
      </c>
    </row>
    <row r="571" spans="16:16" x14ac:dyDescent="0.25">
      <c r="P571" t="str">
        <f t="shared" si="8"/>
        <v/>
      </c>
    </row>
    <row r="572" spans="16:16" x14ac:dyDescent="0.25">
      <c r="P572" t="str">
        <f t="shared" si="8"/>
        <v/>
      </c>
    </row>
    <row r="573" spans="16:16" x14ac:dyDescent="0.25">
      <c r="P573" t="str">
        <f t="shared" si="8"/>
        <v/>
      </c>
    </row>
    <row r="574" spans="16:16" x14ac:dyDescent="0.25">
      <c r="P574" t="str">
        <f t="shared" si="8"/>
        <v/>
      </c>
    </row>
    <row r="575" spans="16:16" x14ac:dyDescent="0.25">
      <c r="P575" t="str">
        <f t="shared" si="8"/>
        <v/>
      </c>
    </row>
    <row r="576" spans="16:16" x14ac:dyDescent="0.25">
      <c r="P576" t="str">
        <f t="shared" si="8"/>
        <v/>
      </c>
    </row>
    <row r="577" spans="16:16" x14ac:dyDescent="0.25">
      <c r="P577" t="str">
        <f t="shared" si="8"/>
        <v/>
      </c>
    </row>
    <row r="578" spans="16:16" x14ac:dyDescent="0.25">
      <c r="P578" t="str">
        <f t="shared" si="8"/>
        <v/>
      </c>
    </row>
    <row r="579" spans="16:16" x14ac:dyDescent="0.25">
      <c r="P579" t="str">
        <f t="shared" si="8"/>
        <v/>
      </c>
    </row>
    <row r="580" spans="16:16" x14ac:dyDescent="0.25">
      <c r="P580" t="str">
        <f t="shared" si="8"/>
        <v/>
      </c>
    </row>
    <row r="581" spans="16:16" x14ac:dyDescent="0.25">
      <c r="P581" t="str">
        <f t="shared" si="8"/>
        <v/>
      </c>
    </row>
    <row r="582" spans="16:16" x14ac:dyDescent="0.25">
      <c r="P582" t="str">
        <f t="shared" si="8"/>
        <v/>
      </c>
    </row>
    <row r="583" spans="16:16" x14ac:dyDescent="0.25">
      <c r="P583" t="str">
        <f t="shared" ref="P583:P646" si="9">IF(I583="","",SUMIFS(OrderItems_Qty,OrderItems_Type,"PURCHASE",OrderItems_SKU,I583)-SUMIFS(OrderItems_Qty,OrderItems_Type,"SALE",OrderItems_SKU,I583))</f>
        <v/>
      </c>
    </row>
    <row r="584" spans="16:16" x14ac:dyDescent="0.25">
      <c r="P584" t="str">
        <f t="shared" si="9"/>
        <v/>
      </c>
    </row>
    <row r="585" spans="16:16" x14ac:dyDescent="0.25">
      <c r="P585" t="str">
        <f t="shared" si="9"/>
        <v/>
      </c>
    </row>
    <row r="586" spans="16:16" x14ac:dyDescent="0.25">
      <c r="P586" t="str">
        <f t="shared" si="9"/>
        <v/>
      </c>
    </row>
    <row r="587" spans="16:16" x14ac:dyDescent="0.25">
      <c r="P587" t="str">
        <f t="shared" si="9"/>
        <v/>
      </c>
    </row>
    <row r="588" spans="16:16" x14ac:dyDescent="0.25">
      <c r="P588" t="str">
        <f t="shared" si="9"/>
        <v/>
      </c>
    </row>
    <row r="589" spans="16:16" x14ac:dyDescent="0.25">
      <c r="P589" t="str">
        <f t="shared" si="9"/>
        <v/>
      </c>
    </row>
    <row r="590" spans="16:16" x14ac:dyDescent="0.25">
      <c r="P590" t="str">
        <f t="shared" si="9"/>
        <v/>
      </c>
    </row>
    <row r="591" spans="16:16" x14ac:dyDescent="0.25">
      <c r="P591" t="str">
        <f t="shared" si="9"/>
        <v/>
      </c>
    </row>
    <row r="592" spans="16:16" x14ac:dyDescent="0.25">
      <c r="P592" t="str">
        <f t="shared" si="9"/>
        <v/>
      </c>
    </row>
    <row r="593" spans="16:16" x14ac:dyDescent="0.25">
      <c r="P593" t="str">
        <f t="shared" si="9"/>
        <v/>
      </c>
    </row>
    <row r="594" spans="16:16" x14ac:dyDescent="0.25">
      <c r="P594" t="str">
        <f t="shared" si="9"/>
        <v/>
      </c>
    </row>
    <row r="595" spans="16:16" x14ac:dyDescent="0.25">
      <c r="P595" t="str">
        <f t="shared" si="9"/>
        <v/>
      </c>
    </row>
    <row r="596" spans="16:16" x14ac:dyDescent="0.25">
      <c r="P596" t="str">
        <f t="shared" si="9"/>
        <v/>
      </c>
    </row>
    <row r="597" spans="16:16" x14ac:dyDescent="0.25">
      <c r="P597" t="str">
        <f t="shared" si="9"/>
        <v/>
      </c>
    </row>
    <row r="598" spans="16:16" x14ac:dyDescent="0.25">
      <c r="P598" t="str">
        <f t="shared" si="9"/>
        <v/>
      </c>
    </row>
    <row r="599" spans="16:16" x14ac:dyDescent="0.25">
      <c r="P599" t="str">
        <f t="shared" si="9"/>
        <v/>
      </c>
    </row>
    <row r="600" spans="16:16" x14ac:dyDescent="0.25">
      <c r="P600" t="str">
        <f t="shared" si="9"/>
        <v/>
      </c>
    </row>
    <row r="601" spans="16:16" x14ac:dyDescent="0.25">
      <c r="P601" t="str">
        <f t="shared" si="9"/>
        <v/>
      </c>
    </row>
    <row r="602" spans="16:16" x14ac:dyDescent="0.25">
      <c r="P602" t="str">
        <f t="shared" si="9"/>
        <v/>
      </c>
    </row>
    <row r="603" spans="16:16" x14ac:dyDescent="0.25">
      <c r="P603" t="str">
        <f t="shared" si="9"/>
        <v/>
      </c>
    </row>
    <row r="604" spans="16:16" x14ac:dyDescent="0.25">
      <c r="P604" t="str">
        <f t="shared" si="9"/>
        <v/>
      </c>
    </row>
    <row r="605" spans="16:16" x14ac:dyDescent="0.25">
      <c r="P605" t="str">
        <f t="shared" si="9"/>
        <v/>
      </c>
    </row>
    <row r="606" spans="16:16" x14ac:dyDescent="0.25">
      <c r="P606" t="str">
        <f t="shared" si="9"/>
        <v/>
      </c>
    </row>
    <row r="607" spans="16:16" x14ac:dyDescent="0.25">
      <c r="P607" t="str">
        <f t="shared" si="9"/>
        <v/>
      </c>
    </row>
    <row r="608" spans="16:16" x14ac:dyDescent="0.25">
      <c r="P608" t="str">
        <f t="shared" si="9"/>
        <v/>
      </c>
    </row>
    <row r="609" spans="16:16" x14ac:dyDescent="0.25">
      <c r="P609" t="str">
        <f t="shared" si="9"/>
        <v/>
      </c>
    </row>
    <row r="610" spans="16:16" x14ac:dyDescent="0.25">
      <c r="P610" t="str">
        <f t="shared" si="9"/>
        <v/>
      </c>
    </row>
    <row r="611" spans="16:16" x14ac:dyDescent="0.25">
      <c r="P611" t="str">
        <f t="shared" si="9"/>
        <v/>
      </c>
    </row>
    <row r="612" spans="16:16" x14ac:dyDescent="0.25">
      <c r="P612" t="str">
        <f t="shared" si="9"/>
        <v/>
      </c>
    </row>
    <row r="613" spans="16:16" x14ac:dyDescent="0.25">
      <c r="P613" t="str">
        <f t="shared" si="9"/>
        <v/>
      </c>
    </row>
    <row r="614" spans="16:16" x14ac:dyDescent="0.25">
      <c r="P614" t="str">
        <f t="shared" si="9"/>
        <v/>
      </c>
    </row>
    <row r="615" spans="16:16" x14ac:dyDescent="0.25">
      <c r="P615" t="str">
        <f t="shared" si="9"/>
        <v/>
      </c>
    </row>
    <row r="616" spans="16:16" x14ac:dyDescent="0.25">
      <c r="P616" t="str">
        <f t="shared" si="9"/>
        <v/>
      </c>
    </row>
    <row r="617" spans="16:16" x14ac:dyDescent="0.25">
      <c r="P617" t="str">
        <f t="shared" si="9"/>
        <v/>
      </c>
    </row>
    <row r="618" spans="16:16" x14ac:dyDescent="0.25">
      <c r="P618" t="str">
        <f t="shared" si="9"/>
        <v/>
      </c>
    </row>
    <row r="619" spans="16:16" x14ac:dyDescent="0.25">
      <c r="P619" t="str">
        <f t="shared" si="9"/>
        <v/>
      </c>
    </row>
    <row r="620" spans="16:16" x14ac:dyDescent="0.25">
      <c r="P620" t="str">
        <f t="shared" si="9"/>
        <v/>
      </c>
    </row>
    <row r="621" spans="16:16" x14ac:dyDescent="0.25">
      <c r="P621" t="str">
        <f t="shared" si="9"/>
        <v/>
      </c>
    </row>
    <row r="622" spans="16:16" x14ac:dyDescent="0.25">
      <c r="P622" t="str">
        <f t="shared" si="9"/>
        <v/>
      </c>
    </row>
    <row r="623" spans="16:16" x14ac:dyDescent="0.25">
      <c r="P623" t="str">
        <f t="shared" si="9"/>
        <v/>
      </c>
    </row>
    <row r="624" spans="16:16" x14ac:dyDescent="0.25">
      <c r="P624" t="str">
        <f t="shared" si="9"/>
        <v/>
      </c>
    </row>
    <row r="625" spans="16:16" x14ac:dyDescent="0.25">
      <c r="P625" t="str">
        <f t="shared" si="9"/>
        <v/>
      </c>
    </row>
    <row r="626" spans="16:16" x14ac:dyDescent="0.25">
      <c r="P626" t="str">
        <f t="shared" si="9"/>
        <v/>
      </c>
    </row>
    <row r="627" spans="16:16" x14ac:dyDescent="0.25">
      <c r="P627" t="str">
        <f t="shared" si="9"/>
        <v/>
      </c>
    </row>
    <row r="628" spans="16:16" x14ac:dyDescent="0.25">
      <c r="P628" t="str">
        <f t="shared" si="9"/>
        <v/>
      </c>
    </row>
    <row r="629" spans="16:16" x14ac:dyDescent="0.25">
      <c r="P629" t="str">
        <f t="shared" si="9"/>
        <v/>
      </c>
    </row>
    <row r="630" spans="16:16" x14ac:dyDescent="0.25">
      <c r="P630" t="str">
        <f t="shared" si="9"/>
        <v/>
      </c>
    </row>
    <row r="631" spans="16:16" x14ac:dyDescent="0.25">
      <c r="P631" t="str">
        <f t="shared" si="9"/>
        <v/>
      </c>
    </row>
    <row r="632" spans="16:16" x14ac:dyDescent="0.25">
      <c r="P632" t="str">
        <f t="shared" si="9"/>
        <v/>
      </c>
    </row>
    <row r="633" spans="16:16" x14ac:dyDescent="0.25">
      <c r="P633" t="str">
        <f t="shared" si="9"/>
        <v/>
      </c>
    </row>
    <row r="634" spans="16:16" x14ac:dyDescent="0.25">
      <c r="P634" t="str">
        <f t="shared" si="9"/>
        <v/>
      </c>
    </row>
    <row r="635" spans="16:16" x14ac:dyDescent="0.25">
      <c r="P635" t="str">
        <f t="shared" si="9"/>
        <v/>
      </c>
    </row>
    <row r="636" spans="16:16" x14ac:dyDescent="0.25">
      <c r="P636" t="str">
        <f t="shared" si="9"/>
        <v/>
      </c>
    </row>
    <row r="637" spans="16:16" x14ac:dyDescent="0.25">
      <c r="P637" t="str">
        <f t="shared" si="9"/>
        <v/>
      </c>
    </row>
    <row r="638" spans="16:16" x14ac:dyDescent="0.25">
      <c r="P638" t="str">
        <f t="shared" si="9"/>
        <v/>
      </c>
    </row>
    <row r="639" spans="16:16" x14ac:dyDescent="0.25">
      <c r="P639" t="str">
        <f t="shared" si="9"/>
        <v/>
      </c>
    </row>
    <row r="640" spans="16:16" x14ac:dyDescent="0.25">
      <c r="P640" t="str">
        <f t="shared" si="9"/>
        <v/>
      </c>
    </row>
    <row r="641" spans="16:16" x14ac:dyDescent="0.25">
      <c r="P641" t="str">
        <f t="shared" si="9"/>
        <v/>
      </c>
    </row>
    <row r="642" spans="16:16" x14ac:dyDescent="0.25">
      <c r="P642" t="str">
        <f t="shared" si="9"/>
        <v/>
      </c>
    </row>
    <row r="643" spans="16:16" x14ac:dyDescent="0.25">
      <c r="P643" t="str">
        <f t="shared" si="9"/>
        <v/>
      </c>
    </row>
    <row r="644" spans="16:16" x14ac:dyDescent="0.25">
      <c r="P644" t="str">
        <f t="shared" si="9"/>
        <v/>
      </c>
    </row>
    <row r="645" spans="16:16" x14ac:dyDescent="0.25">
      <c r="P645" t="str">
        <f t="shared" si="9"/>
        <v/>
      </c>
    </row>
    <row r="646" spans="16:16" x14ac:dyDescent="0.25">
      <c r="P646" t="str">
        <f t="shared" si="9"/>
        <v/>
      </c>
    </row>
    <row r="647" spans="16:16" x14ac:dyDescent="0.25">
      <c r="P647" t="str">
        <f t="shared" ref="P647:P710" si="10">IF(I647="","",SUMIFS(OrderItems_Qty,OrderItems_Type,"PURCHASE",OrderItems_SKU,I647)-SUMIFS(OrderItems_Qty,OrderItems_Type,"SALE",OrderItems_SKU,I647))</f>
        <v/>
      </c>
    </row>
    <row r="648" spans="16:16" x14ac:dyDescent="0.25">
      <c r="P648" t="str">
        <f t="shared" si="10"/>
        <v/>
      </c>
    </row>
    <row r="649" spans="16:16" x14ac:dyDescent="0.25">
      <c r="P649" t="str">
        <f t="shared" si="10"/>
        <v/>
      </c>
    </row>
    <row r="650" spans="16:16" x14ac:dyDescent="0.25">
      <c r="P650" t="str">
        <f t="shared" si="10"/>
        <v/>
      </c>
    </row>
    <row r="651" spans="16:16" x14ac:dyDescent="0.25">
      <c r="P651" t="str">
        <f t="shared" si="10"/>
        <v/>
      </c>
    </row>
    <row r="652" spans="16:16" x14ac:dyDescent="0.25">
      <c r="P652" t="str">
        <f t="shared" si="10"/>
        <v/>
      </c>
    </row>
    <row r="653" spans="16:16" x14ac:dyDescent="0.25">
      <c r="P653" t="str">
        <f t="shared" si="10"/>
        <v/>
      </c>
    </row>
    <row r="654" spans="16:16" x14ac:dyDescent="0.25">
      <c r="P654" t="str">
        <f t="shared" si="10"/>
        <v/>
      </c>
    </row>
    <row r="655" spans="16:16" x14ac:dyDescent="0.25">
      <c r="P655" t="str">
        <f t="shared" si="10"/>
        <v/>
      </c>
    </row>
    <row r="656" spans="16:16" x14ac:dyDescent="0.25">
      <c r="P656" t="str">
        <f t="shared" si="10"/>
        <v/>
      </c>
    </row>
    <row r="657" spans="16:16" x14ac:dyDescent="0.25">
      <c r="P657" t="str">
        <f t="shared" si="10"/>
        <v/>
      </c>
    </row>
    <row r="658" spans="16:16" x14ac:dyDescent="0.25">
      <c r="P658" t="str">
        <f t="shared" si="10"/>
        <v/>
      </c>
    </row>
    <row r="659" spans="16:16" x14ac:dyDescent="0.25">
      <c r="P659" t="str">
        <f t="shared" si="10"/>
        <v/>
      </c>
    </row>
    <row r="660" spans="16:16" x14ac:dyDescent="0.25">
      <c r="P660" t="str">
        <f t="shared" si="10"/>
        <v/>
      </c>
    </row>
    <row r="661" spans="16:16" x14ac:dyDescent="0.25">
      <c r="P661" t="str">
        <f t="shared" si="10"/>
        <v/>
      </c>
    </row>
    <row r="662" spans="16:16" x14ac:dyDescent="0.25">
      <c r="P662" t="str">
        <f t="shared" si="10"/>
        <v/>
      </c>
    </row>
    <row r="663" spans="16:16" x14ac:dyDescent="0.25">
      <c r="P663" t="str">
        <f t="shared" si="10"/>
        <v/>
      </c>
    </row>
    <row r="664" spans="16:16" x14ac:dyDescent="0.25">
      <c r="P664" t="str">
        <f t="shared" si="10"/>
        <v/>
      </c>
    </row>
    <row r="665" spans="16:16" x14ac:dyDescent="0.25">
      <c r="P665" t="str">
        <f t="shared" si="10"/>
        <v/>
      </c>
    </row>
    <row r="666" spans="16:16" x14ac:dyDescent="0.25">
      <c r="P666" t="str">
        <f t="shared" si="10"/>
        <v/>
      </c>
    </row>
    <row r="667" spans="16:16" x14ac:dyDescent="0.25">
      <c r="P667" t="str">
        <f t="shared" si="10"/>
        <v/>
      </c>
    </row>
    <row r="668" spans="16:16" x14ac:dyDescent="0.25">
      <c r="P668" t="str">
        <f t="shared" si="10"/>
        <v/>
      </c>
    </row>
    <row r="669" spans="16:16" x14ac:dyDescent="0.25">
      <c r="P669" t="str">
        <f t="shared" si="10"/>
        <v/>
      </c>
    </row>
    <row r="670" spans="16:16" x14ac:dyDescent="0.25">
      <c r="P670" t="str">
        <f t="shared" si="10"/>
        <v/>
      </c>
    </row>
    <row r="671" spans="16:16" x14ac:dyDescent="0.25">
      <c r="P671" t="str">
        <f t="shared" si="10"/>
        <v/>
      </c>
    </row>
    <row r="672" spans="16:16" x14ac:dyDescent="0.25">
      <c r="P672" t="str">
        <f t="shared" si="10"/>
        <v/>
      </c>
    </row>
    <row r="673" spans="16:16" x14ac:dyDescent="0.25">
      <c r="P673" t="str">
        <f t="shared" si="10"/>
        <v/>
      </c>
    </row>
    <row r="674" spans="16:16" x14ac:dyDescent="0.25">
      <c r="P674" t="str">
        <f t="shared" si="10"/>
        <v/>
      </c>
    </row>
    <row r="675" spans="16:16" x14ac:dyDescent="0.25">
      <c r="P675" t="str">
        <f t="shared" si="10"/>
        <v/>
      </c>
    </row>
    <row r="676" spans="16:16" x14ac:dyDescent="0.25">
      <c r="P676" t="str">
        <f t="shared" si="10"/>
        <v/>
      </c>
    </row>
    <row r="677" spans="16:16" x14ac:dyDescent="0.25">
      <c r="P677" t="str">
        <f t="shared" si="10"/>
        <v/>
      </c>
    </row>
    <row r="678" spans="16:16" x14ac:dyDescent="0.25">
      <c r="P678" t="str">
        <f t="shared" si="10"/>
        <v/>
      </c>
    </row>
    <row r="679" spans="16:16" x14ac:dyDescent="0.25">
      <c r="P679" t="str">
        <f t="shared" si="10"/>
        <v/>
      </c>
    </row>
    <row r="680" spans="16:16" x14ac:dyDescent="0.25">
      <c r="P680" t="str">
        <f t="shared" si="10"/>
        <v/>
      </c>
    </row>
    <row r="681" spans="16:16" x14ac:dyDescent="0.25">
      <c r="P681" t="str">
        <f t="shared" si="10"/>
        <v/>
      </c>
    </row>
    <row r="682" spans="16:16" x14ac:dyDescent="0.25">
      <c r="P682" t="str">
        <f t="shared" si="10"/>
        <v/>
      </c>
    </row>
    <row r="683" spans="16:16" x14ac:dyDescent="0.25">
      <c r="P683" t="str">
        <f t="shared" si="10"/>
        <v/>
      </c>
    </row>
    <row r="684" spans="16:16" x14ac:dyDescent="0.25">
      <c r="P684" t="str">
        <f t="shared" si="10"/>
        <v/>
      </c>
    </row>
    <row r="685" spans="16:16" x14ac:dyDescent="0.25">
      <c r="P685" t="str">
        <f t="shared" si="10"/>
        <v/>
      </c>
    </row>
    <row r="686" spans="16:16" x14ac:dyDescent="0.25">
      <c r="P686" t="str">
        <f t="shared" si="10"/>
        <v/>
      </c>
    </row>
    <row r="687" spans="16:16" x14ac:dyDescent="0.25">
      <c r="P687" t="str">
        <f t="shared" si="10"/>
        <v/>
      </c>
    </row>
    <row r="688" spans="16:16" x14ac:dyDescent="0.25">
      <c r="P688" t="str">
        <f t="shared" si="10"/>
        <v/>
      </c>
    </row>
    <row r="689" spans="16:16" x14ac:dyDescent="0.25">
      <c r="P689" t="str">
        <f t="shared" si="10"/>
        <v/>
      </c>
    </row>
    <row r="690" spans="16:16" x14ac:dyDescent="0.25">
      <c r="P690" t="str">
        <f t="shared" si="10"/>
        <v/>
      </c>
    </row>
    <row r="691" spans="16:16" x14ac:dyDescent="0.25">
      <c r="P691" t="str">
        <f t="shared" si="10"/>
        <v/>
      </c>
    </row>
    <row r="692" spans="16:16" x14ac:dyDescent="0.25">
      <c r="P692" t="str">
        <f t="shared" si="10"/>
        <v/>
      </c>
    </row>
    <row r="693" spans="16:16" x14ac:dyDescent="0.25">
      <c r="P693" t="str">
        <f t="shared" si="10"/>
        <v/>
      </c>
    </row>
    <row r="694" spans="16:16" x14ac:dyDescent="0.25">
      <c r="P694" t="str">
        <f t="shared" si="10"/>
        <v/>
      </c>
    </row>
    <row r="695" spans="16:16" x14ac:dyDescent="0.25">
      <c r="P695" t="str">
        <f t="shared" si="10"/>
        <v/>
      </c>
    </row>
    <row r="696" spans="16:16" x14ac:dyDescent="0.25">
      <c r="P696" t="str">
        <f t="shared" si="10"/>
        <v/>
      </c>
    </row>
    <row r="697" spans="16:16" x14ac:dyDescent="0.25">
      <c r="P697" t="str">
        <f t="shared" si="10"/>
        <v/>
      </c>
    </row>
    <row r="698" spans="16:16" x14ac:dyDescent="0.25">
      <c r="P698" t="str">
        <f t="shared" si="10"/>
        <v/>
      </c>
    </row>
    <row r="699" spans="16:16" x14ac:dyDescent="0.25">
      <c r="P699" t="str">
        <f t="shared" si="10"/>
        <v/>
      </c>
    </row>
    <row r="700" spans="16:16" x14ac:dyDescent="0.25">
      <c r="P700" t="str">
        <f t="shared" si="10"/>
        <v/>
      </c>
    </row>
    <row r="701" spans="16:16" x14ac:dyDescent="0.25">
      <c r="P701" t="str">
        <f t="shared" si="10"/>
        <v/>
      </c>
    </row>
    <row r="702" spans="16:16" x14ac:dyDescent="0.25">
      <c r="P702" t="str">
        <f t="shared" si="10"/>
        <v/>
      </c>
    </row>
    <row r="703" spans="16:16" x14ac:dyDescent="0.25">
      <c r="P703" t="str">
        <f t="shared" si="10"/>
        <v/>
      </c>
    </row>
    <row r="704" spans="16:16" x14ac:dyDescent="0.25">
      <c r="P704" t="str">
        <f t="shared" si="10"/>
        <v/>
      </c>
    </row>
    <row r="705" spans="16:16" x14ac:dyDescent="0.25">
      <c r="P705" t="str">
        <f t="shared" si="10"/>
        <v/>
      </c>
    </row>
    <row r="706" spans="16:16" x14ac:dyDescent="0.25">
      <c r="P706" t="str">
        <f t="shared" si="10"/>
        <v/>
      </c>
    </row>
    <row r="707" spans="16:16" x14ac:dyDescent="0.25">
      <c r="P707" t="str">
        <f t="shared" si="10"/>
        <v/>
      </c>
    </row>
    <row r="708" spans="16:16" x14ac:dyDescent="0.25">
      <c r="P708" t="str">
        <f t="shared" si="10"/>
        <v/>
      </c>
    </row>
    <row r="709" spans="16:16" x14ac:dyDescent="0.25">
      <c r="P709" t="str">
        <f t="shared" si="10"/>
        <v/>
      </c>
    </row>
    <row r="710" spans="16:16" x14ac:dyDescent="0.25">
      <c r="P710" t="str">
        <f t="shared" si="10"/>
        <v/>
      </c>
    </row>
    <row r="711" spans="16:16" x14ac:dyDescent="0.25">
      <c r="P711" t="str">
        <f t="shared" ref="P711:P774" si="11">IF(I711="","",SUMIFS(OrderItems_Qty,OrderItems_Type,"PURCHASE",OrderItems_SKU,I711)-SUMIFS(OrderItems_Qty,OrderItems_Type,"SALE",OrderItems_SKU,I711))</f>
        <v/>
      </c>
    </row>
    <row r="712" spans="16:16" x14ac:dyDescent="0.25">
      <c r="P712" t="str">
        <f t="shared" si="11"/>
        <v/>
      </c>
    </row>
    <row r="713" spans="16:16" x14ac:dyDescent="0.25">
      <c r="P713" t="str">
        <f t="shared" si="11"/>
        <v/>
      </c>
    </row>
    <row r="714" spans="16:16" x14ac:dyDescent="0.25">
      <c r="P714" t="str">
        <f t="shared" si="11"/>
        <v/>
      </c>
    </row>
    <row r="715" spans="16:16" x14ac:dyDescent="0.25">
      <c r="P715" t="str">
        <f t="shared" si="11"/>
        <v/>
      </c>
    </row>
    <row r="716" spans="16:16" x14ac:dyDescent="0.25">
      <c r="P716" t="str">
        <f t="shared" si="11"/>
        <v/>
      </c>
    </row>
    <row r="717" spans="16:16" x14ac:dyDescent="0.25">
      <c r="P717" t="str">
        <f t="shared" si="11"/>
        <v/>
      </c>
    </row>
    <row r="718" spans="16:16" x14ac:dyDescent="0.25">
      <c r="P718" t="str">
        <f t="shared" si="11"/>
        <v/>
      </c>
    </row>
    <row r="719" spans="16:16" x14ac:dyDescent="0.25">
      <c r="P719" t="str">
        <f t="shared" si="11"/>
        <v/>
      </c>
    </row>
    <row r="720" spans="16:16" x14ac:dyDescent="0.25">
      <c r="P720" t="str">
        <f t="shared" si="11"/>
        <v/>
      </c>
    </row>
    <row r="721" spans="16:16" x14ac:dyDescent="0.25">
      <c r="P721" t="str">
        <f t="shared" si="11"/>
        <v/>
      </c>
    </row>
    <row r="722" spans="16:16" x14ac:dyDescent="0.25">
      <c r="P722" t="str">
        <f t="shared" si="11"/>
        <v/>
      </c>
    </row>
    <row r="723" spans="16:16" x14ac:dyDescent="0.25">
      <c r="P723" t="str">
        <f t="shared" si="11"/>
        <v/>
      </c>
    </row>
    <row r="724" spans="16:16" x14ac:dyDescent="0.25">
      <c r="P724" t="str">
        <f t="shared" si="11"/>
        <v/>
      </c>
    </row>
    <row r="725" spans="16:16" x14ac:dyDescent="0.25">
      <c r="P725" t="str">
        <f t="shared" si="11"/>
        <v/>
      </c>
    </row>
    <row r="726" spans="16:16" x14ac:dyDescent="0.25">
      <c r="P726" t="str">
        <f t="shared" si="11"/>
        <v/>
      </c>
    </row>
    <row r="727" spans="16:16" x14ac:dyDescent="0.25">
      <c r="P727" t="str">
        <f t="shared" si="11"/>
        <v/>
      </c>
    </row>
    <row r="728" spans="16:16" x14ac:dyDescent="0.25">
      <c r="P728" t="str">
        <f t="shared" si="11"/>
        <v/>
      </c>
    </row>
    <row r="729" spans="16:16" x14ac:dyDescent="0.25">
      <c r="P729" t="str">
        <f t="shared" si="11"/>
        <v/>
      </c>
    </row>
    <row r="730" spans="16:16" x14ac:dyDescent="0.25">
      <c r="P730" t="str">
        <f t="shared" si="11"/>
        <v/>
      </c>
    </row>
    <row r="731" spans="16:16" x14ac:dyDescent="0.25">
      <c r="P731" t="str">
        <f t="shared" si="11"/>
        <v/>
      </c>
    </row>
    <row r="732" spans="16:16" x14ac:dyDescent="0.25">
      <c r="P732" t="str">
        <f t="shared" si="11"/>
        <v/>
      </c>
    </row>
    <row r="733" spans="16:16" x14ac:dyDescent="0.25">
      <c r="P733" t="str">
        <f t="shared" si="11"/>
        <v/>
      </c>
    </row>
    <row r="734" spans="16:16" x14ac:dyDescent="0.25">
      <c r="P734" t="str">
        <f t="shared" si="11"/>
        <v/>
      </c>
    </row>
    <row r="735" spans="16:16" x14ac:dyDescent="0.25">
      <c r="P735" t="str">
        <f t="shared" si="11"/>
        <v/>
      </c>
    </row>
    <row r="736" spans="16:16" x14ac:dyDescent="0.25">
      <c r="P736" t="str">
        <f t="shared" si="11"/>
        <v/>
      </c>
    </row>
    <row r="737" spans="16:16" x14ac:dyDescent="0.25">
      <c r="P737" t="str">
        <f t="shared" si="11"/>
        <v/>
      </c>
    </row>
    <row r="738" spans="16:16" x14ac:dyDescent="0.25">
      <c r="P738" t="str">
        <f t="shared" si="11"/>
        <v/>
      </c>
    </row>
    <row r="739" spans="16:16" x14ac:dyDescent="0.25">
      <c r="P739" t="str">
        <f t="shared" si="11"/>
        <v/>
      </c>
    </row>
    <row r="740" spans="16:16" x14ac:dyDescent="0.25">
      <c r="P740" t="str">
        <f t="shared" si="11"/>
        <v/>
      </c>
    </row>
    <row r="741" spans="16:16" x14ac:dyDescent="0.25">
      <c r="P741" t="str">
        <f t="shared" si="11"/>
        <v/>
      </c>
    </row>
    <row r="742" spans="16:16" x14ac:dyDescent="0.25">
      <c r="P742" t="str">
        <f t="shared" si="11"/>
        <v/>
      </c>
    </row>
    <row r="743" spans="16:16" x14ac:dyDescent="0.25">
      <c r="P743" t="str">
        <f t="shared" si="11"/>
        <v/>
      </c>
    </row>
    <row r="744" spans="16:16" x14ac:dyDescent="0.25">
      <c r="P744" t="str">
        <f t="shared" si="11"/>
        <v/>
      </c>
    </row>
    <row r="745" spans="16:16" x14ac:dyDescent="0.25">
      <c r="P745" t="str">
        <f t="shared" si="11"/>
        <v/>
      </c>
    </row>
    <row r="746" spans="16:16" x14ac:dyDescent="0.25">
      <c r="P746" t="str">
        <f t="shared" si="11"/>
        <v/>
      </c>
    </row>
    <row r="747" spans="16:16" x14ac:dyDescent="0.25">
      <c r="P747" t="str">
        <f t="shared" si="11"/>
        <v/>
      </c>
    </row>
    <row r="748" spans="16:16" x14ac:dyDescent="0.25">
      <c r="P748" t="str">
        <f t="shared" si="11"/>
        <v/>
      </c>
    </row>
    <row r="749" spans="16:16" x14ac:dyDescent="0.25">
      <c r="P749" t="str">
        <f t="shared" si="11"/>
        <v/>
      </c>
    </row>
    <row r="750" spans="16:16" x14ac:dyDescent="0.25">
      <c r="P750" t="str">
        <f t="shared" si="11"/>
        <v/>
      </c>
    </row>
    <row r="751" spans="16:16" x14ac:dyDescent="0.25">
      <c r="P751" t="str">
        <f t="shared" si="11"/>
        <v/>
      </c>
    </row>
    <row r="752" spans="16:16" x14ac:dyDescent="0.25">
      <c r="P752" t="str">
        <f t="shared" si="11"/>
        <v/>
      </c>
    </row>
    <row r="753" spans="16:16" x14ac:dyDescent="0.25">
      <c r="P753" t="str">
        <f t="shared" si="11"/>
        <v/>
      </c>
    </row>
    <row r="754" spans="16:16" x14ac:dyDescent="0.25">
      <c r="P754" t="str">
        <f t="shared" si="11"/>
        <v/>
      </c>
    </row>
    <row r="755" spans="16:16" x14ac:dyDescent="0.25">
      <c r="P755" t="str">
        <f t="shared" si="11"/>
        <v/>
      </c>
    </row>
    <row r="756" spans="16:16" x14ac:dyDescent="0.25">
      <c r="P756" t="str">
        <f t="shared" si="11"/>
        <v/>
      </c>
    </row>
    <row r="757" spans="16:16" x14ac:dyDescent="0.25">
      <c r="P757" t="str">
        <f t="shared" si="11"/>
        <v/>
      </c>
    </row>
    <row r="758" spans="16:16" x14ac:dyDescent="0.25">
      <c r="P758" t="str">
        <f t="shared" si="11"/>
        <v/>
      </c>
    </row>
    <row r="759" spans="16:16" x14ac:dyDescent="0.25">
      <c r="P759" t="str">
        <f t="shared" si="11"/>
        <v/>
      </c>
    </row>
    <row r="760" spans="16:16" x14ac:dyDescent="0.25">
      <c r="P760" t="str">
        <f t="shared" si="11"/>
        <v/>
      </c>
    </row>
    <row r="761" spans="16:16" x14ac:dyDescent="0.25">
      <c r="P761" t="str">
        <f t="shared" si="11"/>
        <v/>
      </c>
    </row>
    <row r="762" spans="16:16" x14ac:dyDescent="0.25">
      <c r="P762" t="str">
        <f t="shared" si="11"/>
        <v/>
      </c>
    </row>
    <row r="763" spans="16:16" x14ac:dyDescent="0.25">
      <c r="P763" t="str">
        <f t="shared" si="11"/>
        <v/>
      </c>
    </row>
    <row r="764" spans="16:16" x14ac:dyDescent="0.25">
      <c r="P764" t="str">
        <f t="shared" si="11"/>
        <v/>
      </c>
    </row>
    <row r="765" spans="16:16" x14ac:dyDescent="0.25">
      <c r="P765" t="str">
        <f t="shared" si="11"/>
        <v/>
      </c>
    </row>
    <row r="766" spans="16:16" x14ac:dyDescent="0.25">
      <c r="P766" t="str">
        <f t="shared" si="11"/>
        <v/>
      </c>
    </row>
    <row r="767" spans="16:16" x14ac:dyDescent="0.25">
      <c r="P767" t="str">
        <f t="shared" si="11"/>
        <v/>
      </c>
    </row>
    <row r="768" spans="16:16" x14ac:dyDescent="0.25">
      <c r="P768" t="str">
        <f t="shared" si="11"/>
        <v/>
      </c>
    </row>
    <row r="769" spans="16:16" x14ac:dyDescent="0.25">
      <c r="P769" t="str">
        <f t="shared" si="11"/>
        <v/>
      </c>
    </row>
    <row r="770" spans="16:16" x14ac:dyDescent="0.25">
      <c r="P770" t="str">
        <f t="shared" si="11"/>
        <v/>
      </c>
    </row>
    <row r="771" spans="16:16" x14ac:dyDescent="0.25">
      <c r="P771" t="str">
        <f t="shared" si="11"/>
        <v/>
      </c>
    </row>
    <row r="772" spans="16:16" x14ac:dyDescent="0.25">
      <c r="P772" t="str">
        <f t="shared" si="11"/>
        <v/>
      </c>
    </row>
    <row r="773" spans="16:16" x14ac:dyDescent="0.25">
      <c r="P773" t="str">
        <f t="shared" si="11"/>
        <v/>
      </c>
    </row>
    <row r="774" spans="16:16" x14ac:dyDescent="0.25">
      <c r="P774" t="str">
        <f t="shared" si="11"/>
        <v/>
      </c>
    </row>
    <row r="775" spans="16:16" x14ac:dyDescent="0.25">
      <c r="P775" t="str">
        <f t="shared" ref="P775:P838" si="12">IF(I775="","",SUMIFS(OrderItems_Qty,OrderItems_Type,"PURCHASE",OrderItems_SKU,I775)-SUMIFS(OrderItems_Qty,OrderItems_Type,"SALE",OrderItems_SKU,I775))</f>
        <v/>
      </c>
    </row>
    <row r="776" spans="16:16" x14ac:dyDescent="0.25">
      <c r="P776" t="str">
        <f t="shared" si="12"/>
        <v/>
      </c>
    </row>
    <row r="777" spans="16:16" x14ac:dyDescent="0.25">
      <c r="P777" t="str">
        <f t="shared" si="12"/>
        <v/>
      </c>
    </row>
    <row r="778" spans="16:16" x14ac:dyDescent="0.25">
      <c r="P778" t="str">
        <f t="shared" si="12"/>
        <v/>
      </c>
    </row>
    <row r="779" spans="16:16" x14ac:dyDescent="0.25">
      <c r="P779" t="str">
        <f t="shared" si="12"/>
        <v/>
      </c>
    </row>
    <row r="780" spans="16:16" x14ac:dyDescent="0.25">
      <c r="P780" t="str">
        <f t="shared" si="12"/>
        <v/>
      </c>
    </row>
    <row r="781" spans="16:16" x14ac:dyDescent="0.25">
      <c r="P781" t="str">
        <f t="shared" si="12"/>
        <v/>
      </c>
    </row>
    <row r="782" spans="16:16" x14ac:dyDescent="0.25">
      <c r="P782" t="str">
        <f t="shared" si="12"/>
        <v/>
      </c>
    </row>
    <row r="783" spans="16:16" x14ac:dyDescent="0.25">
      <c r="P783" t="str">
        <f t="shared" si="12"/>
        <v/>
      </c>
    </row>
    <row r="784" spans="16:16" x14ac:dyDescent="0.25">
      <c r="P784" t="str">
        <f t="shared" si="12"/>
        <v/>
      </c>
    </row>
    <row r="785" spans="16:16" x14ac:dyDescent="0.25">
      <c r="P785" t="str">
        <f t="shared" si="12"/>
        <v/>
      </c>
    </row>
    <row r="786" spans="16:16" x14ac:dyDescent="0.25">
      <c r="P786" t="str">
        <f t="shared" si="12"/>
        <v/>
      </c>
    </row>
    <row r="787" spans="16:16" x14ac:dyDescent="0.25">
      <c r="P787" t="str">
        <f t="shared" si="12"/>
        <v/>
      </c>
    </row>
    <row r="788" spans="16:16" x14ac:dyDescent="0.25">
      <c r="P788" t="str">
        <f t="shared" si="12"/>
        <v/>
      </c>
    </row>
    <row r="789" spans="16:16" x14ac:dyDescent="0.25">
      <c r="P789" t="str">
        <f t="shared" si="12"/>
        <v/>
      </c>
    </row>
    <row r="790" spans="16:16" x14ac:dyDescent="0.25">
      <c r="P790" t="str">
        <f t="shared" si="12"/>
        <v/>
      </c>
    </row>
    <row r="791" spans="16:16" x14ac:dyDescent="0.25">
      <c r="P791" t="str">
        <f t="shared" si="12"/>
        <v/>
      </c>
    </row>
    <row r="792" spans="16:16" x14ac:dyDescent="0.25">
      <c r="P792" t="str">
        <f t="shared" si="12"/>
        <v/>
      </c>
    </row>
    <row r="793" spans="16:16" x14ac:dyDescent="0.25">
      <c r="P793" t="str">
        <f t="shared" si="12"/>
        <v/>
      </c>
    </row>
    <row r="794" spans="16:16" x14ac:dyDescent="0.25">
      <c r="P794" t="str">
        <f t="shared" si="12"/>
        <v/>
      </c>
    </row>
    <row r="795" spans="16:16" x14ac:dyDescent="0.25">
      <c r="P795" t="str">
        <f t="shared" si="12"/>
        <v/>
      </c>
    </row>
    <row r="796" spans="16:16" x14ac:dyDescent="0.25">
      <c r="P796" t="str">
        <f t="shared" si="12"/>
        <v/>
      </c>
    </row>
    <row r="797" spans="16:16" x14ac:dyDescent="0.25">
      <c r="P797" t="str">
        <f t="shared" si="12"/>
        <v/>
      </c>
    </row>
    <row r="798" spans="16:16" x14ac:dyDescent="0.25">
      <c r="P798" t="str">
        <f t="shared" si="12"/>
        <v/>
      </c>
    </row>
    <row r="799" spans="16:16" x14ac:dyDescent="0.25">
      <c r="P799" t="str">
        <f t="shared" si="12"/>
        <v/>
      </c>
    </row>
    <row r="800" spans="16:16" x14ac:dyDescent="0.25">
      <c r="P800" t="str">
        <f t="shared" si="12"/>
        <v/>
      </c>
    </row>
    <row r="801" spans="16:16" x14ac:dyDescent="0.25">
      <c r="P801" t="str">
        <f t="shared" si="12"/>
        <v/>
      </c>
    </row>
    <row r="802" spans="16:16" x14ac:dyDescent="0.25">
      <c r="P802" t="str">
        <f t="shared" si="12"/>
        <v/>
      </c>
    </row>
    <row r="803" spans="16:16" x14ac:dyDescent="0.25">
      <c r="P803" t="str">
        <f t="shared" si="12"/>
        <v/>
      </c>
    </row>
    <row r="804" spans="16:16" x14ac:dyDescent="0.25">
      <c r="P804" t="str">
        <f t="shared" si="12"/>
        <v/>
      </c>
    </row>
    <row r="805" spans="16:16" x14ac:dyDescent="0.25">
      <c r="P805" t="str">
        <f t="shared" si="12"/>
        <v/>
      </c>
    </row>
    <row r="806" spans="16:16" x14ac:dyDescent="0.25">
      <c r="P806" t="str">
        <f t="shared" si="12"/>
        <v/>
      </c>
    </row>
    <row r="807" spans="16:16" x14ac:dyDescent="0.25">
      <c r="P807" t="str">
        <f t="shared" si="12"/>
        <v/>
      </c>
    </row>
    <row r="808" spans="16:16" x14ac:dyDescent="0.25">
      <c r="P808" t="str">
        <f t="shared" si="12"/>
        <v/>
      </c>
    </row>
    <row r="809" spans="16:16" x14ac:dyDescent="0.25">
      <c r="P809" t="str">
        <f t="shared" si="12"/>
        <v/>
      </c>
    </row>
    <row r="810" spans="16:16" x14ac:dyDescent="0.25">
      <c r="P810" t="str">
        <f t="shared" si="12"/>
        <v/>
      </c>
    </row>
    <row r="811" spans="16:16" x14ac:dyDescent="0.25">
      <c r="P811" t="str">
        <f t="shared" si="12"/>
        <v/>
      </c>
    </row>
    <row r="812" spans="16:16" x14ac:dyDescent="0.25">
      <c r="P812" t="str">
        <f t="shared" si="12"/>
        <v/>
      </c>
    </row>
    <row r="813" spans="16:16" x14ac:dyDescent="0.25">
      <c r="P813" t="str">
        <f t="shared" si="12"/>
        <v/>
      </c>
    </row>
    <row r="814" spans="16:16" x14ac:dyDescent="0.25">
      <c r="P814" t="str">
        <f t="shared" si="12"/>
        <v/>
      </c>
    </row>
    <row r="815" spans="16:16" x14ac:dyDescent="0.25">
      <c r="P815" t="str">
        <f t="shared" si="12"/>
        <v/>
      </c>
    </row>
    <row r="816" spans="16:16" x14ac:dyDescent="0.25">
      <c r="P816" t="str">
        <f t="shared" si="12"/>
        <v/>
      </c>
    </row>
    <row r="817" spans="16:16" x14ac:dyDescent="0.25">
      <c r="P817" t="str">
        <f t="shared" si="12"/>
        <v/>
      </c>
    </row>
    <row r="818" spans="16:16" x14ac:dyDescent="0.25">
      <c r="P818" t="str">
        <f t="shared" si="12"/>
        <v/>
      </c>
    </row>
    <row r="819" spans="16:16" x14ac:dyDescent="0.25">
      <c r="P819" t="str">
        <f t="shared" si="12"/>
        <v/>
      </c>
    </row>
    <row r="820" spans="16:16" x14ac:dyDescent="0.25">
      <c r="P820" t="str">
        <f t="shared" si="12"/>
        <v/>
      </c>
    </row>
    <row r="821" spans="16:16" x14ac:dyDescent="0.25">
      <c r="P821" t="str">
        <f t="shared" si="12"/>
        <v/>
      </c>
    </row>
    <row r="822" spans="16:16" x14ac:dyDescent="0.25">
      <c r="P822" t="str">
        <f t="shared" si="12"/>
        <v/>
      </c>
    </row>
    <row r="823" spans="16:16" x14ac:dyDescent="0.25">
      <c r="P823" t="str">
        <f t="shared" si="12"/>
        <v/>
      </c>
    </row>
    <row r="824" spans="16:16" x14ac:dyDescent="0.25">
      <c r="P824" t="str">
        <f t="shared" si="12"/>
        <v/>
      </c>
    </row>
    <row r="825" spans="16:16" x14ac:dyDescent="0.25">
      <c r="P825" t="str">
        <f t="shared" si="12"/>
        <v/>
      </c>
    </row>
    <row r="826" spans="16:16" x14ac:dyDescent="0.25">
      <c r="P826" t="str">
        <f t="shared" si="12"/>
        <v/>
      </c>
    </row>
    <row r="827" spans="16:16" x14ac:dyDescent="0.25">
      <c r="P827" t="str">
        <f t="shared" si="12"/>
        <v/>
      </c>
    </row>
    <row r="828" spans="16:16" x14ac:dyDescent="0.25">
      <c r="P828" t="str">
        <f t="shared" si="12"/>
        <v/>
      </c>
    </row>
    <row r="829" spans="16:16" x14ac:dyDescent="0.25">
      <c r="P829" t="str">
        <f t="shared" si="12"/>
        <v/>
      </c>
    </row>
    <row r="830" spans="16:16" x14ac:dyDescent="0.25">
      <c r="P830" t="str">
        <f t="shared" si="12"/>
        <v/>
      </c>
    </row>
    <row r="831" spans="16:16" x14ac:dyDescent="0.25">
      <c r="P831" t="str">
        <f t="shared" si="12"/>
        <v/>
      </c>
    </row>
    <row r="832" spans="16:16" x14ac:dyDescent="0.25">
      <c r="P832" t="str">
        <f t="shared" si="12"/>
        <v/>
      </c>
    </row>
    <row r="833" spans="16:16" x14ac:dyDescent="0.25">
      <c r="P833" t="str">
        <f t="shared" si="12"/>
        <v/>
      </c>
    </row>
    <row r="834" spans="16:16" x14ac:dyDescent="0.25">
      <c r="P834" t="str">
        <f t="shared" si="12"/>
        <v/>
      </c>
    </row>
    <row r="835" spans="16:16" x14ac:dyDescent="0.25">
      <c r="P835" t="str">
        <f t="shared" si="12"/>
        <v/>
      </c>
    </row>
    <row r="836" spans="16:16" x14ac:dyDescent="0.25">
      <c r="P836" t="str">
        <f t="shared" si="12"/>
        <v/>
      </c>
    </row>
    <row r="837" spans="16:16" x14ac:dyDescent="0.25">
      <c r="P837" t="str">
        <f t="shared" si="12"/>
        <v/>
      </c>
    </row>
    <row r="838" spans="16:16" x14ac:dyDescent="0.25">
      <c r="P838" t="str">
        <f t="shared" si="12"/>
        <v/>
      </c>
    </row>
    <row r="839" spans="16:16" x14ac:dyDescent="0.25">
      <c r="P839" t="str">
        <f t="shared" ref="P839:P902" si="13">IF(I839="","",SUMIFS(OrderItems_Qty,OrderItems_Type,"PURCHASE",OrderItems_SKU,I839)-SUMIFS(OrderItems_Qty,OrderItems_Type,"SALE",OrderItems_SKU,I839))</f>
        <v/>
      </c>
    </row>
    <row r="840" spans="16:16" x14ac:dyDescent="0.25">
      <c r="P840" t="str">
        <f t="shared" si="13"/>
        <v/>
      </c>
    </row>
    <row r="841" spans="16:16" x14ac:dyDescent="0.25">
      <c r="P841" t="str">
        <f t="shared" si="13"/>
        <v/>
      </c>
    </row>
    <row r="842" spans="16:16" x14ac:dyDescent="0.25">
      <c r="P842" t="str">
        <f t="shared" si="13"/>
        <v/>
      </c>
    </row>
    <row r="843" spans="16:16" x14ac:dyDescent="0.25">
      <c r="P843" t="str">
        <f t="shared" si="13"/>
        <v/>
      </c>
    </row>
    <row r="844" spans="16:16" x14ac:dyDescent="0.25">
      <c r="P844" t="str">
        <f t="shared" si="13"/>
        <v/>
      </c>
    </row>
    <row r="845" spans="16:16" x14ac:dyDescent="0.25">
      <c r="P845" t="str">
        <f t="shared" si="13"/>
        <v/>
      </c>
    </row>
    <row r="846" spans="16:16" x14ac:dyDescent="0.25">
      <c r="P846" t="str">
        <f t="shared" si="13"/>
        <v/>
      </c>
    </row>
    <row r="847" spans="16:16" x14ac:dyDescent="0.25">
      <c r="P847" t="str">
        <f t="shared" si="13"/>
        <v/>
      </c>
    </row>
    <row r="848" spans="16:16" x14ac:dyDescent="0.25">
      <c r="P848" t="str">
        <f t="shared" si="13"/>
        <v/>
      </c>
    </row>
    <row r="849" spans="16:16" x14ac:dyDescent="0.25">
      <c r="P849" t="str">
        <f t="shared" si="13"/>
        <v/>
      </c>
    </row>
    <row r="850" spans="16:16" x14ac:dyDescent="0.25">
      <c r="P850" t="str">
        <f t="shared" si="13"/>
        <v/>
      </c>
    </row>
    <row r="851" spans="16:16" x14ac:dyDescent="0.25">
      <c r="P851" t="str">
        <f t="shared" si="13"/>
        <v/>
      </c>
    </row>
    <row r="852" spans="16:16" x14ac:dyDescent="0.25">
      <c r="P852" t="str">
        <f t="shared" si="13"/>
        <v/>
      </c>
    </row>
    <row r="853" spans="16:16" x14ac:dyDescent="0.25">
      <c r="P853" t="str">
        <f t="shared" si="13"/>
        <v/>
      </c>
    </row>
    <row r="854" spans="16:16" x14ac:dyDescent="0.25">
      <c r="P854" t="str">
        <f t="shared" si="13"/>
        <v/>
      </c>
    </row>
    <row r="855" spans="16:16" x14ac:dyDescent="0.25">
      <c r="P855" t="str">
        <f t="shared" si="13"/>
        <v/>
      </c>
    </row>
    <row r="856" spans="16:16" x14ac:dyDescent="0.25">
      <c r="P856" t="str">
        <f t="shared" si="13"/>
        <v/>
      </c>
    </row>
    <row r="857" spans="16:16" x14ac:dyDescent="0.25">
      <c r="P857" t="str">
        <f t="shared" si="13"/>
        <v/>
      </c>
    </row>
    <row r="858" spans="16:16" x14ac:dyDescent="0.25">
      <c r="P858" t="str">
        <f t="shared" si="13"/>
        <v/>
      </c>
    </row>
    <row r="859" spans="16:16" x14ac:dyDescent="0.25">
      <c r="P859" t="str">
        <f t="shared" si="13"/>
        <v/>
      </c>
    </row>
    <row r="860" spans="16:16" x14ac:dyDescent="0.25">
      <c r="P860" t="str">
        <f t="shared" si="13"/>
        <v/>
      </c>
    </row>
    <row r="861" spans="16:16" x14ac:dyDescent="0.25">
      <c r="P861" t="str">
        <f t="shared" si="13"/>
        <v/>
      </c>
    </row>
    <row r="862" spans="16:16" x14ac:dyDescent="0.25">
      <c r="P862" t="str">
        <f t="shared" si="13"/>
        <v/>
      </c>
    </row>
    <row r="863" spans="16:16" x14ac:dyDescent="0.25">
      <c r="P863" t="str">
        <f t="shared" si="13"/>
        <v/>
      </c>
    </row>
    <row r="864" spans="16:16" x14ac:dyDescent="0.25">
      <c r="P864" t="str">
        <f t="shared" si="13"/>
        <v/>
      </c>
    </row>
    <row r="865" spans="16:16" x14ac:dyDescent="0.25">
      <c r="P865" t="str">
        <f t="shared" si="13"/>
        <v/>
      </c>
    </row>
    <row r="866" spans="16:16" x14ac:dyDescent="0.25">
      <c r="P866" t="str">
        <f t="shared" si="13"/>
        <v/>
      </c>
    </row>
    <row r="867" spans="16:16" x14ac:dyDescent="0.25">
      <c r="P867" t="str">
        <f t="shared" si="13"/>
        <v/>
      </c>
    </row>
    <row r="868" spans="16:16" x14ac:dyDescent="0.25">
      <c r="P868" t="str">
        <f t="shared" si="13"/>
        <v/>
      </c>
    </row>
    <row r="869" spans="16:16" x14ac:dyDescent="0.25">
      <c r="P869" t="str">
        <f t="shared" si="13"/>
        <v/>
      </c>
    </row>
    <row r="870" spans="16:16" x14ac:dyDescent="0.25">
      <c r="P870" t="str">
        <f t="shared" si="13"/>
        <v/>
      </c>
    </row>
    <row r="871" spans="16:16" x14ac:dyDescent="0.25">
      <c r="P871" t="str">
        <f t="shared" si="13"/>
        <v/>
      </c>
    </row>
    <row r="872" spans="16:16" x14ac:dyDescent="0.25">
      <c r="P872" t="str">
        <f t="shared" si="13"/>
        <v/>
      </c>
    </row>
    <row r="873" spans="16:16" x14ac:dyDescent="0.25">
      <c r="P873" t="str">
        <f t="shared" si="13"/>
        <v/>
      </c>
    </row>
    <row r="874" spans="16:16" x14ac:dyDescent="0.25">
      <c r="P874" t="str">
        <f t="shared" si="13"/>
        <v/>
      </c>
    </row>
    <row r="875" spans="16:16" x14ac:dyDescent="0.25">
      <c r="P875" t="str">
        <f t="shared" si="13"/>
        <v/>
      </c>
    </row>
    <row r="876" spans="16:16" x14ac:dyDescent="0.25">
      <c r="P876" t="str">
        <f t="shared" si="13"/>
        <v/>
      </c>
    </row>
    <row r="877" spans="16:16" x14ac:dyDescent="0.25">
      <c r="P877" t="str">
        <f t="shared" si="13"/>
        <v/>
      </c>
    </row>
    <row r="878" spans="16:16" x14ac:dyDescent="0.25">
      <c r="P878" t="str">
        <f t="shared" si="13"/>
        <v/>
      </c>
    </row>
    <row r="879" spans="16:16" x14ac:dyDescent="0.25">
      <c r="P879" t="str">
        <f t="shared" si="13"/>
        <v/>
      </c>
    </row>
    <row r="880" spans="16:16" x14ac:dyDescent="0.25">
      <c r="P880" t="str">
        <f t="shared" si="13"/>
        <v/>
      </c>
    </row>
    <row r="881" spans="16:16" x14ac:dyDescent="0.25">
      <c r="P881" t="str">
        <f t="shared" si="13"/>
        <v/>
      </c>
    </row>
    <row r="882" spans="16:16" x14ac:dyDescent="0.25">
      <c r="P882" t="str">
        <f t="shared" si="13"/>
        <v/>
      </c>
    </row>
    <row r="883" spans="16:16" x14ac:dyDescent="0.25">
      <c r="P883" t="str">
        <f t="shared" si="13"/>
        <v/>
      </c>
    </row>
    <row r="884" spans="16:16" x14ac:dyDescent="0.25">
      <c r="P884" t="str">
        <f t="shared" si="13"/>
        <v/>
      </c>
    </row>
    <row r="885" spans="16:16" x14ac:dyDescent="0.25">
      <c r="P885" t="str">
        <f t="shared" si="13"/>
        <v/>
      </c>
    </row>
    <row r="886" spans="16:16" x14ac:dyDescent="0.25">
      <c r="P886" t="str">
        <f t="shared" si="13"/>
        <v/>
      </c>
    </row>
    <row r="887" spans="16:16" x14ac:dyDescent="0.25">
      <c r="P887" t="str">
        <f t="shared" si="13"/>
        <v/>
      </c>
    </row>
    <row r="888" spans="16:16" x14ac:dyDescent="0.25">
      <c r="P888" t="str">
        <f t="shared" si="13"/>
        <v/>
      </c>
    </row>
    <row r="889" spans="16:16" x14ac:dyDescent="0.25">
      <c r="P889" t="str">
        <f t="shared" si="13"/>
        <v/>
      </c>
    </row>
    <row r="890" spans="16:16" x14ac:dyDescent="0.25">
      <c r="P890" t="str">
        <f t="shared" si="13"/>
        <v/>
      </c>
    </row>
    <row r="891" spans="16:16" x14ac:dyDescent="0.25">
      <c r="P891" t="str">
        <f t="shared" si="13"/>
        <v/>
      </c>
    </row>
    <row r="892" spans="16:16" x14ac:dyDescent="0.25">
      <c r="P892" t="str">
        <f t="shared" si="13"/>
        <v/>
      </c>
    </row>
    <row r="893" spans="16:16" x14ac:dyDescent="0.25">
      <c r="P893" t="str">
        <f t="shared" si="13"/>
        <v/>
      </c>
    </row>
    <row r="894" spans="16:16" x14ac:dyDescent="0.25">
      <c r="P894" t="str">
        <f t="shared" si="13"/>
        <v/>
      </c>
    </row>
    <row r="895" spans="16:16" x14ac:dyDescent="0.25">
      <c r="P895" t="str">
        <f t="shared" si="13"/>
        <v/>
      </c>
    </row>
    <row r="896" spans="16:16" x14ac:dyDescent="0.25">
      <c r="P896" t="str">
        <f t="shared" si="13"/>
        <v/>
      </c>
    </row>
    <row r="897" spans="16:16" x14ac:dyDescent="0.25">
      <c r="P897" t="str">
        <f t="shared" si="13"/>
        <v/>
      </c>
    </row>
    <row r="898" spans="16:16" x14ac:dyDescent="0.25">
      <c r="P898" t="str">
        <f t="shared" si="13"/>
        <v/>
      </c>
    </row>
    <row r="899" spans="16:16" x14ac:dyDescent="0.25">
      <c r="P899" t="str">
        <f t="shared" si="13"/>
        <v/>
      </c>
    </row>
    <row r="900" spans="16:16" x14ac:dyDescent="0.25">
      <c r="P900" t="str">
        <f t="shared" si="13"/>
        <v/>
      </c>
    </row>
    <row r="901" spans="16:16" x14ac:dyDescent="0.25">
      <c r="P901" t="str">
        <f t="shared" si="13"/>
        <v/>
      </c>
    </row>
    <row r="902" spans="16:16" x14ac:dyDescent="0.25">
      <c r="P902" t="str">
        <f t="shared" si="13"/>
        <v/>
      </c>
    </row>
    <row r="903" spans="16:16" x14ac:dyDescent="0.25">
      <c r="P903" t="str">
        <f t="shared" ref="P903:P966" si="14">IF(I903="","",SUMIFS(OrderItems_Qty,OrderItems_Type,"PURCHASE",OrderItems_SKU,I903)-SUMIFS(OrderItems_Qty,OrderItems_Type,"SALE",OrderItems_SKU,I903))</f>
        <v/>
      </c>
    </row>
    <row r="904" spans="16:16" x14ac:dyDescent="0.25">
      <c r="P904" t="str">
        <f t="shared" si="14"/>
        <v/>
      </c>
    </row>
    <row r="905" spans="16:16" x14ac:dyDescent="0.25">
      <c r="P905" t="str">
        <f t="shared" si="14"/>
        <v/>
      </c>
    </row>
    <row r="906" spans="16:16" x14ac:dyDescent="0.25">
      <c r="P906" t="str">
        <f t="shared" si="14"/>
        <v/>
      </c>
    </row>
    <row r="907" spans="16:16" x14ac:dyDescent="0.25">
      <c r="P907" t="str">
        <f t="shared" si="14"/>
        <v/>
      </c>
    </row>
    <row r="908" spans="16:16" x14ac:dyDescent="0.25">
      <c r="P908" t="str">
        <f t="shared" si="14"/>
        <v/>
      </c>
    </row>
    <row r="909" spans="16:16" x14ac:dyDescent="0.25">
      <c r="P909" t="str">
        <f t="shared" si="14"/>
        <v/>
      </c>
    </row>
    <row r="910" spans="16:16" x14ac:dyDescent="0.25">
      <c r="P910" t="str">
        <f t="shared" si="14"/>
        <v/>
      </c>
    </row>
    <row r="911" spans="16:16" x14ac:dyDescent="0.25">
      <c r="P911" t="str">
        <f t="shared" si="14"/>
        <v/>
      </c>
    </row>
    <row r="912" spans="16:16" x14ac:dyDescent="0.25">
      <c r="P912" t="str">
        <f t="shared" si="14"/>
        <v/>
      </c>
    </row>
    <row r="913" spans="16:16" x14ac:dyDescent="0.25">
      <c r="P913" t="str">
        <f t="shared" si="14"/>
        <v/>
      </c>
    </row>
    <row r="914" spans="16:16" x14ac:dyDescent="0.25">
      <c r="P914" t="str">
        <f t="shared" si="14"/>
        <v/>
      </c>
    </row>
    <row r="915" spans="16:16" x14ac:dyDescent="0.25">
      <c r="P915" t="str">
        <f t="shared" si="14"/>
        <v/>
      </c>
    </row>
    <row r="916" spans="16:16" x14ac:dyDescent="0.25">
      <c r="P916" t="str">
        <f t="shared" si="14"/>
        <v/>
      </c>
    </row>
    <row r="917" spans="16:16" x14ac:dyDescent="0.25">
      <c r="P917" t="str">
        <f t="shared" si="14"/>
        <v/>
      </c>
    </row>
    <row r="918" spans="16:16" x14ac:dyDescent="0.25">
      <c r="P918" t="str">
        <f t="shared" si="14"/>
        <v/>
      </c>
    </row>
    <row r="919" spans="16:16" x14ac:dyDescent="0.25">
      <c r="P919" t="str">
        <f t="shared" si="14"/>
        <v/>
      </c>
    </row>
    <row r="920" spans="16:16" x14ac:dyDescent="0.25">
      <c r="P920" t="str">
        <f t="shared" si="14"/>
        <v/>
      </c>
    </row>
    <row r="921" spans="16:16" x14ac:dyDescent="0.25">
      <c r="P921" t="str">
        <f t="shared" si="14"/>
        <v/>
      </c>
    </row>
    <row r="922" spans="16:16" x14ac:dyDescent="0.25">
      <c r="P922" t="str">
        <f t="shared" si="14"/>
        <v/>
      </c>
    </row>
    <row r="923" spans="16:16" x14ac:dyDescent="0.25">
      <c r="P923" t="str">
        <f t="shared" si="14"/>
        <v/>
      </c>
    </row>
    <row r="924" spans="16:16" x14ac:dyDescent="0.25">
      <c r="P924" t="str">
        <f t="shared" si="14"/>
        <v/>
      </c>
    </row>
    <row r="925" spans="16:16" x14ac:dyDescent="0.25">
      <c r="P925" t="str">
        <f t="shared" si="14"/>
        <v/>
      </c>
    </row>
    <row r="926" spans="16:16" x14ac:dyDescent="0.25">
      <c r="P926" t="str">
        <f t="shared" si="14"/>
        <v/>
      </c>
    </row>
    <row r="927" spans="16:16" x14ac:dyDescent="0.25">
      <c r="P927" t="str">
        <f t="shared" si="14"/>
        <v/>
      </c>
    </row>
    <row r="928" spans="16:16" x14ac:dyDescent="0.25">
      <c r="P928" t="str">
        <f t="shared" si="14"/>
        <v/>
      </c>
    </row>
    <row r="929" spans="16:16" x14ac:dyDescent="0.25">
      <c r="P929" t="str">
        <f t="shared" si="14"/>
        <v/>
      </c>
    </row>
    <row r="930" spans="16:16" x14ac:dyDescent="0.25">
      <c r="P930" t="str">
        <f t="shared" si="14"/>
        <v/>
      </c>
    </row>
    <row r="931" spans="16:16" x14ac:dyDescent="0.25">
      <c r="P931" t="str">
        <f t="shared" si="14"/>
        <v/>
      </c>
    </row>
    <row r="932" spans="16:16" x14ac:dyDescent="0.25">
      <c r="P932" t="str">
        <f t="shared" si="14"/>
        <v/>
      </c>
    </row>
    <row r="933" spans="16:16" x14ac:dyDescent="0.25">
      <c r="P933" t="str">
        <f t="shared" si="14"/>
        <v/>
      </c>
    </row>
    <row r="934" spans="16:16" x14ac:dyDescent="0.25">
      <c r="P934" t="str">
        <f t="shared" si="14"/>
        <v/>
      </c>
    </row>
    <row r="935" spans="16:16" x14ac:dyDescent="0.25">
      <c r="P935" t="str">
        <f t="shared" si="14"/>
        <v/>
      </c>
    </row>
    <row r="936" spans="16:16" x14ac:dyDescent="0.25">
      <c r="P936" t="str">
        <f t="shared" si="14"/>
        <v/>
      </c>
    </row>
    <row r="937" spans="16:16" x14ac:dyDescent="0.25">
      <c r="P937" t="str">
        <f t="shared" si="14"/>
        <v/>
      </c>
    </row>
    <row r="938" spans="16:16" x14ac:dyDescent="0.25">
      <c r="P938" t="str">
        <f t="shared" si="14"/>
        <v/>
      </c>
    </row>
    <row r="939" spans="16:16" x14ac:dyDescent="0.25">
      <c r="P939" t="str">
        <f t="shared" si="14"/>
        <v/>
      </c>
    </row>
    <row r="940" spans="16:16" x14ac:dyDescent="0.25">
      <c r="P940" t="str">
        <f t="shared" si="14"/>
        <v/>
      </c>
    </row>
    <row r="941" spans="16:16" x14ac:dyDescent="0.25">
      <c r="P941" t="str">
        <f t="shared" si="14"/>
        <v/>
      </c>
    </row>
    <row r="942" spans="16:16" x14ac:dyDescent="0.25">
      <c r="P942" t="str">
        <f t="shared" si="14"/>
        <v/>
      </c>
    </row>
    <row r="943" spans="16:16" x14ac:dyDescent="0.25">
      <c r="P943" t="str">
        <f t="shared" si="14"/>
        <v/>
      </c>
    </row>
    <row r="944" spans="16:16" x14ac:dyDescent="0.25">
      <c r="P944" t="str">
        <f t="shared" si="14"/>
        <v/>
      </c>
    </row>
    <row r="945" spans="16:16" x14ac:dyDescent="0.25">
      <c r="P945" t="str">
        <f t="shared" si="14"/>
        <v/>
      </c>
    </row>
    <row r="946" spans="16:16" x14ac:dyDescent="0.25">
      <c r="P946" t="str">
        <f t="shared" si="14"/>
        <v/>
      </c>
    </row>
    <row r="947" spans="16:16" x14ac:dyDescent="0.25">
      <c r="P947" t="str">
        <f t="shared" si="14"/>
        <v/>
      </c>
    </row>
    <row r="948" spans="16:16" x14ac:dyDescent="0.25">
      <c r="P948" t="str">
        <f t="shared" si="14"/>
        <v/>
      </c>
    </row>
    <row r="949" spans="16:16" x14ac:dyDescent="0.25">
      <c r="P949" t="str">
        <f t="shared" si="14"/>
        <v/>
      </c>
    </row>
    <row r="950" spans="16:16" x14ac:dyDescent="0.25">
      <c r="P950" t="str">
        <f t="shared" si="14"/>
        <v/>
      </c>
    </row>
    <row r="951" spans="16:16" x14ac:dyDescent="0.25">
      <c r="P951" t="str">
        <f t="shared" si="14"/>
        <v/>
      </c>
    </row>
    <row r="952" spans="16:16" x14ac:dyDescent="0.25">
      <c r="P952" t="str">
        <f t="shared" si="14"/>
        <v/>
      </c>
    </row>
    <row r="953" spans="16:16" x14ac:dyDescent="0.25">
      <c r="P953" t="str">
        <f t="shared" si="14"/>
        <v/>
      </c>
    </row>
    <row r="954" spans="16:16" x14ac:dyDescent="0.25">
      <c r="P954" t="str">
        <f t="shared" si="14"/>
        <v/>
      </c>
    </row>
    <row r="955" spans="16:16" x14ac:dyDescent="0.25">
      <c r="P955" t="str">
        <f t="shared" si="14"/>
        <v/>
      </c>
    </row>
    <row r="956" spans="16:16" x14ac:dyDescent="0.25">
      <c r="P956" t="str">
        <f t="shared" si="14"/>
        <v/>
      </c>
    </row>
    <row r="957" spans="16:16" x14ac:dyDescent="0.25">
      <c r="P957" t="str">
        <f t="shared" si="14"/>
        <v/>
      </c>
    </row>
    <row r="958" spans="16:16" x14ac:dyDescent="0.25">
      <c r="P958" t="str">
        <f t="shared" si="14"/>
        <v/>
      </c>
    </row>
    <row r="959" spans="16:16" x14ac:dyDescent="0.25">
      <c r="P959" t="str">
        <f t="shared" si="14"/>
        <v/>
      </c>
    </row>
    <row r="960" spans="16:16" x14ac:dyDescent="0.25">
      <c r="P960" t="str">
        <f t="shared" si="14"/>
        <v/>
      </c>
    </row>
    <row r="961" spans="16:16" x14ac:dyDescent="0.25">
      <c r="P961" t="str">
        <f t="shared" si="14"/>
        <v/>
      </c>
    </row>
    <row r="962" spans="16:16" x14ac:dyDescent="0.25">
      <c r="P962" t="str">
        <f t="shared" si="14"/>
        <v/>
      </c>
    </row>
    <row r="963" spans="16:16" x14ac:dyDescent="0.25">
      <c r="P963" t="str">
        <f t="shared" si="14"/>
        <v/>
      </c>
    </row>
    <row r="964" spans="16:16" x14ac:dyDescent="0.25">
      <c r="P964" t="str">
        <f t="shared" si="14"/>
        <v/>
      </c>
    </row>
    <row r="965" spans="16:16" x14ac:dyDescent="0.25">
      <c r="P965" t="str">
        <f t="shared" si="14"/>
        <v/>
      </c>
    </row>
    <row r="966" spans="16:16" x14ac:dyDescent="0.25">
      <c r="P966" t="str">
        <f t="shared" si="14"/>
        <v/>
      </c>
    </row>
    <row r="967" spans="16:16" x14ac:dyDescent="0.25">
      <c r="P967" t="str">
        <f t="shared" ref="P967:P1000" si="15">IF(I967="","",SUMIFS(OrderItems_Qty,OrderItems_Type,"PURCHASE",OrderItems_SKU,I967)-SUMIFS(OrderItems_Qty,OrderItems_Type,"SALE",OrderItems_SKU,I967))</f>
        <v/>
      </c>
    </row>
    <row r="968" spans="16:16" x14ac:dyDescent="0.25">
      <c r="P968" t="str">
        <f t="shared" si="15"/>
        <v/>
      </c>
    </row>
    <row r="969" spans="16:16" x14ac:dyDescent="0.25">
      <c r="P969" t="str">
        <f t="shared" si="15"/>
        <v/>
      </c>
    </row>
    <row r="970" spans="16:16" x14ac:dyDescent="0.25">
      <c r="P970" t="str">
        <f t="shared" si="15"/>
        <v/>
      </c>
    </row>
    <row r="971" spans="16:16" x14ac:dyDescent="0.25">
      <c r="P971" t="str">
        <f t="shared" si="15"/>
        <v/>
      </c>
    </row>
    <row r="972" spans="16:16" x14ac:dyDescent="0.25">
      <c r="P972" t="str">
        <f t="shared" si="15"/>
        <v/>
      </c>
    </row>
    <row r="973" spans="16:16" x14ac:dyDescent="0.25">
      <c r="P973" t="str">
        <f t="shared" si="15"/>
        <v/>
      </c>
    </row>
    <row r="974" spans="16:16" x14ac:dyDescent="0.25">
      <c r="P974" t="str">
        <f t="shared" si="15"/>
        <v/>
      </c>
    </row>
    <row r="975" spans="16:16" x14ac:dyDescent="0.25">
      <c r="P975" t="str">
        <f t="shared" si="15"/>
        <v/>
      </c>
    </row>
    <row r="976" spans="16:16" x14ac:dyDescent="0.25">
      <c r="P976" t="str">
        <f t="shared" si="15"/>
        <v/>
      </c>
    </row>
    <row r="977" spans="16:16" x14ac:dyDescent="0.25">
      <c r="P977" t="str">
        <f t="shared" si="15"/>
        <v/>
      </c>
    </row>
    <row r="978" spans="16:16" x14ac:dyDescent="0.25">
      <c r="P978" t="str">
        <f t="shared" si="15"/>
        <v/>
      </c>
    </row>
    <row r="979" spans="16:16" x14ac:dyDescent="0.25">
      <c r="P979" t="str">
        <f t="shared" si="15"/>
        <v/>
      </c>
    </row>
    <row r="980" spans="16:16" x14ac:dyDescent="0.25">
      <c r="P980" t="str">
        <f t="shared" si="15"/>
        <v/>
      </c>
    </row>
    <row r="981" spans="16:16" x14ac:dyDescent="0.25">
      <c r="P981" t="str">
        <f t="shared" si="15"/>
        <v/>
      </c>
    </row>
    <row r="982" spans="16:16" x14ac:dyDescent="0.25">
      <c r="P982" t="str">
        <f t="shared" si="15"/>
        <v/>
      </c>
    </row>
    <row r="983" spans="16:16" x14ac:dyDescent="0.25">
      <c r="P983" t="str">
        <f t="shared" si="15"/>
        <v/>
      </c>
    </row>
    <row r="984" spans="16:16" x14ac:dyDescent="0.25">
      <c r="P984" t="str">
        <f t="shared" si="15"/>
        <v/>
      </c>
    </row>
    <row r="985" spans="16:16" x14ac:dyDescent="0.25">
      <c r="P985" t="str">
        <f t="shared" si="15"/>
        <v/>
      </c>
    </row>
    <row r="986" spans="16:16" x14ac:dyDescent="0.25">
      <c r="P986" t="str">
        <f t="shared" si="15"/>
        <v/>
      </c>
    </row>
    <row r="987" spans="16:16" x14ac:dyDescent="0.25">
      <c r="P987" t="str">
        <f t="shared" si="15"/>
        <v/>
      </c>
    </row>
    <row r="988" spans="16:16" x14ac:dyDescent="0.25">
      <c r="P988" t="str">
        <f t="shared" si="15"/>
        <v/>
      </c>
    </row>
    <row r="989" spans="16:16" x14ac:dyDescent="0.25">
      <c r="P989" t="str">
        <f t="shared" si="15"/>
        <v/>
      </c>
    </row>
    <row r="990" spans="16:16" x14ac:dyDescent="0.25">
      <c r="P990" t="str">
        <f t="shared" si="15"/>
        <v/>
      </c>
    </row>
    <row r="991" spans="16:16" x14ac:dyDescent="0.25">
      <c r="P991" t="str">
        <f t="shared" si="15"/>
        <v/>
      </c>
    </row>
    <row r="992" spans="16:16" x14ac:dyDescent="0.25">
      <c r="P992" t="str">
        <f t="shared" si="15"/>
        <v/>
      </c>
    </row>
    <row r="993" spans="16:16" x14ac:dyDescent="0.25">
      <c r="P993" t="str">
        <f t="shared" si="15"/>
        <v/>
      </c>
    </row>
    <row r="994" spans="16:16" x14ac:dyDescent="0.25">
      <c r="P994" t="str">
        <f t="shared" si="15"/>
        <v/>
      </c>
    </row>
    <row r="995" spans="16:16" x14ac:dyDescent="0.25">
      <c r="P995" t="str">
        <f t="shared" si="15"/>
        <v/>
      </c>
    </row>
    <row r="996" spans="16:16" x14ac:dyDescent="0.25">
      <c r="P996" t="str">
        <f t="shared" si="15"/>
        <v/>
      </c>
    </row>
    <row r="997" spans="16:16" x14ac:dyDescent="0.25">
      <c r="P997" t="str">
        <f t="shared" si="15"/>
        <v/>
      </c>
    </row>
    <row r="998" spans="16:16" x14ac:dyDescent="0.25">
      <c r="P998" t="str">
        <f t="shared" si="15"/>
        <v/>
      </c>
    </row>
    <row r="999" spans="16:16" x14ac:dyDescent="0.25">
      <c r="P999" t="str">
        <f t="shared" si="15"/>
        <v/>
      </c>
    </row>
    <row r="1000" spans="16:16" x14ac:dyDescent="0.25">
      <c r="P1000" t="str">
        <f t="shared" si="15"/>
        <v/>
      </c>
    </row>
  </sheetData>
  <mergeCells count="9">
    <mergeCell ref="R14:W14"/>
    <mergeCell ref="R28:W29"/>
    <mergeCell ref="R35:W36"/>
    <mergeCell ref="D3:F3"/>
    <mergeCell ref="P5:P6"/>
    <mergeCell ref="O3:P3"/>
    <mergeCell ref="L3:M3"/>
    <mergeCell ref="N4:O4"/>
    <mergeCell ref="L4:M4"/>
  </mergeCells>
  <conditionalFormatting sqref="I8:O999">
    <cfRule type="expression" dxfId="13" priority="14">
      <formula>$B$6=ROW()</formula>
    </cfRule>
    <cfRule type="expression" dxfId="12" priority="15">
      <formula>$I7=""</formula>
    </cfRule>
    <cfRule type="expression" dxfId="11" priority="16">
      <formula>AND($I7&lt;&gt;"",MOD(ROW(),2)=0)</formula>
    </cfRule>
    <cfRule type="expression" dxfId="10" priority="17">
      <formula>AND($I7&lt;&gt;"",MOD(ROW(),2)=1)</formula>
    </cfRule>
  </conditionalFormatting>
  <conditionalFormatting sqref="I3:J3">
    <cfRule type="containsText" dxfId="9" priority="13" operator="containsText" text="Enter">
      <formula>NOT(ISERROR(SEARCH("Enter",I3)))</formula>
    </cfRule>
  </conditionalFormatting>
  <conditionalFormatting sqref="D5:F999">
    <cfRule type="expression" dxfId="8" priority="9">
      <formula>$B$8=ROW()</formula>
    </cfRule>
    <cfRule type="expression" dxfId="7" priority="11">
      <formula>AND($D5&lt;&gt;"",MOD(ROW(),2)=0)</formula>
    </cfRule>
    <cfRule type="expression" dxfId="6" priority="12">
      <formula>AND($D5&lt;&gt;"",MOD(ROW(),2)=1)</formula>
    </cfRule>
  </conditionalFormatting>
  <conditionalFormatting sqref="P7:P999">
    <cfRule type="expression" dxfId="5" priority="7">
      <formula>AND($I6&lt;&gt;"",MOD(ROW(),2)=0)</formula>
    </cfRule>
    <cfRule type="expression" dxfId="4" priority="8">
      <formula>AND($I6&lt;&gt;"",MOD(ROW(),2)=1)</formula>
    </cfRule>
  </conditionalFormatting>
  <conditionalFormatting sqref="I7:O7">
    <cfRule type="expression" dxfId="3" priority="1">
      <formula>$B$6=ROW()</formula>
    </cfRule>
    <cfRule type="expression" dxfId="2" priority="2">
      <formula>$I6=""</formula>
    </cfRule>
    <cfRule type="expression" dxfId="1" priority="3">
      <formula>AND($I6&lt;&gt;"",MOD(ROW(),2)=0)</formula>
    </cfRule>
    <cfRule type="expression" dxfId="0" priority="4">
      <formula>AND($I6&lt;&gt;"",MOD(ROW(),2)=1)</formula>
    </cfRule>
  </conditionalFormatting>
  <dataValidations count="2">
    <dataValidation type="list" allowBlank="1" showInputMessage="1" showErrorMessage="1" sqref="J5">
      <formula1>Prod_SKU</formula1>
    </dataValidation>
    <dataValidation type="list" errorStyle="information" allowBlank="1" showInputMessage="1" showErrorMessage="1" sqref="J4">
      <formula1>Vendor_NamesSorted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s"/>
  <dimension ref="A1:O650"/>
  <sheetViews>
    <sheetView topLeftCell="A296" workbookViewId="0">
      <selection activeCell="C5" sqref="C5"/>
    </sheetView>
  </sheetViews>
  <sheetFormatPr defaultRowHeight="15" x14ac:dyDescent="0.25"/>
  <cols>
    <col min="1" max="1" width="9.140625" customWidth="1"/>
    <col min="2" max="2" width="36.5703125" bestFit="1" customWidth="1"/>
    <col min="3" max="3" width="18.5703125" bestFit="1" customWidth="1"/>
    <col min="4" max="4" width="30" bestFit="1" customWidth="1"/>
    <col min="5" max="6" width="11.28515625" bestFit="1" customWidth="1"/>
    <col min="10" max="10" width="19.28515625" customWidth="1"/>
    <col min="11" max="11" width="12" customWidth="1"/>
    <col min="15" max="15" width="16.42578125" bestFit="1" customWidth="1"/>
  </cols>
  <sheetData>
    <row r="1" spans="1:15" x14ac:dyDescent="0.25">
      <c r="A1" s="111" t="s">
        <v>54</v>
      </c>
      <c r="B1" s="111"/>
      <c r="C1" s="111"/>
      <c r="D1" s="111"/>
      <c r="E1" s="111"/>
      <c r="F1" s="111"/>
      <c r="G1" s="70"/>
      <c r="H1" s="70"/>
      <c r="I1" s="70"/>
      <c r="J1" s="112" t="s">
        <v>49</v>
      </c>
      <c r="K1" s="112"/>
      <c r="L1" s="70"/>
      <c r="M1" s="70"/>
      <c r="N1" s="111" t="s">
        <v>49</v>
      </c>
      <c r="O1" s="111"/>
    </row>
    <row r="2" spans="1:15" x14ac:dyDescent="0.25">
      <c r="A2" s="67" t="s">
        <v>59</v>
      </c>
      <c r="B2" s="67" t="s">
        <v>2</v>
      </c>
      <c r="C2" s="67" t="s">
        <v>28</v>
      </c>
      <c r="D2" s="67" t="s">
        <v>55</v>
      </c>
      <c r="E2" s="67" t="s">
        <v>813</v>
      </c>
      <c r="F2" s="67" t="s">
        <v>812</v>
      </c>
      <c r="G2" s="70"/>
      <c r="H2" s="70"/>
      <c r="I2" s="70"/>
      <c r="J2" s="79" t="s">
        <v>28</v>
      </c>
      <c r="K2" s="79" t="s">
        <v>55</v>
      </c>
      <c r="L2" s="70"/>
      <c r="M2" s="70"/>
      <c r="N2" s="67" t="s">
        <v>59</v>
      </c>
      <c r="O2" s="67" t="s">
        <v>2</v>
      </c>
    </row>
    <row r="3" spans="1:15" x14ac:dyDescent="0.25">
      <c r="A3" s="1">
        <v>9613</v>
      </c>
      <c r="B3" t="s">
        <v>94</v>
      </c>
      <c r="C3" t="s">
        <v>298</v>
      </c>
      <c r="D3" t="s">
        <v>199</v>
      </c>
      <c r="E3" s="53">
        <v>30000</v>
      </c>
      <c r="F3" s="53">
        <v>35000</v>
      </c>
      <c r="J3" s="80" t="s">
        <v>298</v>
      </c>
      <c r="K3" s="80" t="s">
        <v>199</v>
      </c>
      <c r="N3">
        <v>9613</v>
      </c>
      <c r="O3" t="s">
        <v>94</v>
      </c>
    </row>
    <row r="4" spans="1:15" x14ac:dyDescent="0.25">
      <c r="A4" s="1">
        <v>4116</v>
      </c>
      <c r="B4" t="s">
        <v>95</v>
      </c>
      <c r="C4" t="s">
        <v>298</v>
      </c>
      <c r="D4" t="s">
        <v>199</v>
      </c>
      <c r="E4" s="53">
        <v>35000</v>
      </c>
      <c r="F4" s="53">
        <v>40000</v>
      </c>
      <c r="N4">
        <v>4116</v>
      </c>
      <c r="O4" t="s">
        <v>95</v>
      </c>
    </row>
    <row r="5" spans="1:15" x14ac:dyDescent="0.25">
      <c r="A5" s="1">
        <v>9316</v>
      </c>
      <c r="B5" t="s">
        <v>96</v>
      </c>
      <c r="C5" t="s">
        <v>298</v>
      </c>
      <c r="D5" t="s">
        <v>199</v>
      </c>
      <c r="E5" s="53">
        <v>15000</v>
      </c>
      <c r="F5" s="53">
        <v>20000</v>
      </c>
      <c r="N5">
        <v>9316</v>
      </c>
      <c r="O5" t="s">
        <v>96</v>
      </c>
    </row>
    <row r="6" spans="1:15" x14ac:dyDescent="0.25">
      <c r="A6" s="1">
        <v>5274</v>
      </c>
      <c r="B6" t="s">
        <v>97</v>
      </c>
      <c r="C6" t="s">
        <v>298</v>
      </c>
      <c r="D6" t="s">
        <v>199</v>
      </c>
      <c r="E6" s="53">
        <v>20000</v>
      </c>
      <c r="F6" s="53">
        <v>25000</v>
      </c>
      <c r="N6">
        <v>5274</v>
      </c>
      <c r="O6" t="s">
        <v>97</v>
      </c>
    </row>
    <row r="7" spans="1:15" x14ac:dyDescent="0.25">
      <c r="A7" s="1">
        <v>3372</v>
      </c>
      <c r="B7" t="s">
        <v>98</v>
      </c>
      <c r="C7" t="s">
        <v>298</v>
      </c>
      <c r="D7" t="s">
        <v>199</v>
      </c>
      <c r="E7" s="53">
        <v>50000</v>
      </c>
      <c r="F7" s="53">
        <v>60000</v>
      </c>
      <c r="N7">
        <v>3372</v>
      </c>
      <c r="O7" t="s">
        <v>98</v>
      </c>
    </row>
    <row r="8" spans="1:15" x14ac:dyDescent="0.25">
      <c r="A8" s="1">
        <v>6303</v>
      </c>
      <c r="B8" t="s">
        <v>99</v>
      </c>
      <c r="C8" t="s">
        <v>298</v>
      </c>
      <c r="D8" t="s">
        <v>199</v>
      </c>
      <c r="E8" s="53">
        <v>8000</v>
      </c>
      <c r="F8" s="53">
        <v>10000</v>
      </c>
      <c r="N8">
        <v>6303</v>
      </c>
      <c r="O8" t="s">
        <v>99</v>
      </c>
    </row>
    <row r="9" spans="1:15" x14ac:dyDescent="0.25">
      <c r="A9" s="1">
        <v>9662</v>
      </c>
      <c r="B9" t="s">
        <v>100</v>
      </c>
      <c r="C9" t="s">
        <v>298</v>
      </c>
      <c r="D9" t="s">
        <v>199</v>
      </c>
      <c r="E9" s="53">
        <v>10000</v>
      </c>
      <c r="F9" s="53">
        <v>12000</v>
      </c>
      <c r="N9">
        <v>9662</v>
      </c>
      <c r="O9" t="s">
        <v>100</v>
      </c>
    </row>
    <row r="10" spans="1:15" x14ac:dyDescent="0.25">
      <c r="A10" s="1">
        <v>5100</v>
      </c>
      <c r="B10" t="s">
        <v>101</v>
      </c>
      <c r="C10" t="s">
        <v>298</v>
      </c>
      <c r="D10" t="s">
        <v>199</v>
      </c>
      <c r="E10" s="53">
        <v>15000</v>
      </c>
      <c r="F10" s="53">
        <v>18000</v>
      </c>
      <c r="N10">
        <v>5100</v>
      </c>
      <c r="O10" t="s">
        <v>101</v>
      </c>
    </row>
    <row r="11" spans="1:15" x14ac:dyDescent="0.25">
      <c r="A11" s="1">
        <v>1375</v>
      </c>
      <c r="B11" t="s">
        <v>102</v>
      </c>
      <c r="C11" t="s">
        <v>298</v>
      </c>
      <c r="D11" t="s">
        <v>199</v>
      </c>
      <c r="E11" s="53">
        <v>12000</v>
      </c>
      <c r="F11" s="53">
        <v>15000</v>
      </c>
      <c r="N11">
        <v>1375</v>
      </c>
      <c r="O11" t="s">
        <v>102</v>
      </c>
    </row>
    <row r="12" spans="1:15" x14ac:dyDescent="0.25">
      <c r="A12" s="1">
        <v>6286</v>
      </c>
      <c r="B12" t="s">
        <v>103</v>
      </c>
      <c r="C12" t="s">
        <v>298</v>
      </c>
      <c r="D12" t="s">
        <v>200</v>
      </c>
      <c r="E12" s="53">
        <v>4000</v>
      </c>
      <c r="F12" s="53">
        <v>5000</v>
      </c>
    </row>
    <row r="13" spans="1:15" x14ac:dyDescent="0.25">
      <c r="A13" s="1">
        <v>5136</v>
      </c>
      <c r="B13" t="s">
        <v>104</v>
      </c>
      <c r="C13" t="s">
        <v>298</v>
      </c>
      <c r="D13" t="s">
        <v>200</v>
      </c>
      <c r="E13" s="53">
        <v>3000</v>
      </c>
      <c r="F13" s="53">
        <v>4000</v>
      </c>
    </row>
    <row r="14" spans="1:15" x14ac:dyDescent="0.25">
      <c r="A14" s="1">
        <v>7697</v>
      </c>
      <c r="B14" t="s">
        <v>105</v>
      </c>
      <c r="C14" t="s">
        <v>298</v>
      </c>
      <c r="D14" t="s">
        <v>200</v>
      </c>
      <c r="E14" s="53">
        <v>6000</v>
      </c>
      <c r="F14" s="53">
        <v>7000</v>
      </c>
    </row>
    <row r="15" spans="1:15" x14ac:dyDescent="0.25">
      <c r="A15" s="1">
        <v>2863</v>
      </c>
      <c r="B15" t="s">
        <v>106</v>
      </c>
      <c r="C15" t="s">
        <v>298</v>
      </c>
      <c r="D15" t="s">
        <v>200</v>
      </c>
      <c r="E15" s="53">
        <v>8000</v>
      </c>
      <c r="F15" s="53">
        <v>10000</v>
      </c>
    </row>
    <row r="16" spans="1:15" x14ac:dyDescent="0.25">
      <c r="A16" s="1">
        <v>9734</v>
      </c>
      <c r="B16" t="s">
        <v>107</v>
      </c>
      <c r="C16" t="s">
        <v>298</v>
      </c>
      <c r="D16" t="s">
        <v>200</v>
      </c>
      <c r="E16" s="53">
        <v>20000</v>
      </c>
      <c r="F16" s="53">
        <v>25000</v>
      </c>
    </row>
    <row r="17" spans="1:6" x14ac:dyDescent="0.25">
      <c r="A17" s="1">
        <v>4186</v>
      </c>
      <c r="B17" t="s">
        <v>108</v>
      </c>
      <c r="C17" t="s">
        <v>298</v>
      </c>
      <c r="D17" t="s">
        <v>200</v>
      </c>
      <c r="E17" s="53">
        <v>6000</v>
      </c>
      <c r="F17" s="53">
        <v>8000</v>
      </c>
    </row>
    <row r="18" spans="1:6" x14ac:dyDescent="0.25">
      <c r="A18" s="1">
        <v>6037</v>
      </c>
      <c r="B18" t="s">
        <v>109</v>
      </c>
      <c r="C18" t="s">
        <v>298</v>
      </c>
      <c r="D18" t="s">
        <v>200</v>
      </c>
      <c r="E18" s="53">
        <v>12000</v>
      </c>
      <c r="F18" s="53">
        <v>15000</v>
      </c>
    </row>
    <row r="19" spans="1:6" x14ac:dyDescent="0.25">
      <c r="A19" s="1">
        <v>2930</v>
      </c>
      <c r="B19" t="s">
        <v>110</v>
      </c>
      <c r="C19" t="s">
        <v>298</v>
      </c>
      <c r="D19" t="s">
        <v>200</v>
      </c>
      <c r="E19" s="53">
        <v>10000</v>
      </c>
      <c r="F19" s="53">
        <v>12000</v>
      </c>
    </row>
    <row r="20" spans="1:6" x14ac:dyDescent="0.25">
      <c r="A20" s="1">
        <v>5752</v>
      </c>
      <c r="B20" t="s">
        <v>111</v>
      </c>
      <c r="C20" t="s">
        <v>298</v>
      </c>
      <c r="D20" t="s">
        <v>200</v>
      </c>
      <c r="E20" s="53">
        <v>8000</v>
      </c>
      <c r="F20" s="53">
        <v>10000</v>
      </c>
    </row>
    <row r="21" spans="1:6" x14ac:dyDescent="0.25">
      <c r="A21" s="1">
        <v>6971</v>
      </c>
      <c r="B21" t="s">
        <v>112</v>
      </c>
      <c r="C21" t="s">
        <v>298</v>
      </c>
      <c r="D21" t="s">
        <v>201</v>
      </c>
      <c r="E21" s="53">
        <v>10000</v>
      </c>
      <c r="F21" s="53">
        <v>12000</v>
      </c>
    </row>
    <row r="22" spans="1:6" x14ac:dyDescent="0.25">
      <c r="A22" s="1">
        <v>1047</v>
      </c>
      <c r="B22" t="s">
        <v>113</v>
      </c>
      <c r="C22" t="s">
        <v>298</v>
      </c>
      <c r="D22" t="s">
        <v>201</v>
      </c>
      <c r="E22" s="53">
        <v>8000</v>
      </c>
      <c r="F22" s="53">
        <v>10000</v>
      </c>
    </row>
    <row r="23" spans="1:6" x14ac:dyDescent="0.25">
      <c r="A23" s="1">
        <v>7192</v>
      </c>
      <c r="B23" t="s">
        <v>114</v>
      </c>
      <c r="C23" t="s">
        <v>298</v>
      </c>
      <c r="D23" t="s">
        <v>201</v>
      </c>
      <c r="E23" s="53">
        <v>12000</v>
      </c>
      <c r="F23" s="53">
        <v>15000</v>
      </c>
    </row>
    <row r="24" spans="1:6" x14ac:dyDescent="0.25">
      <c r="A24" s="1">
        <v>6269</v>
      </c>
      <c r="B24" t="s">
        <v>115</v>
      </c>
      <c r="C24" t="s">
        <v>298</v>
      </c>
      <c r="D24" t="s">
        <v>201</v>
      </c>
      <c r="E24" s="53">
        <v>6000</v>
      </c>
      <c r="F24" s="53">
        <v>8000</v>
      </c>
    </row>
    <row r="25" spans="1:6" x14ac:dyDescent="0.25">
      <c r="A25" s="1">
        <v>2053</v>
      </c>
      <c r="B25" t="s">
        <v>116</v>
      </c>
      <c r="C25" t="s">
        <v>298</v>
      </c>
      <c r="D25" t="s">
        <v>201</v>
      </c>
      <c r="E25" s="53">
        <v>25000</v>
      </c>
      <c r="F25" s="53">
        <v>30000</v>
      </c>
    </row>
    <row r="26" spans="1:6" x14ac:dyDescent="0.25">
      <c r="A26" s="1">
        <v>2647</v>
      </c>
      <c r="B26" t="s">
        <v>117</v>
      </c>
      <c r="C26" t="s">
        <v>298</v>
      </c>
      <c r="D26" t="s">
        <v>201</v>
      </c>
      <c r="E26" s="53">
        <v>30000</v>
      </c>
      <c r="F26" s="53">
        <v>35000</v>
      </c>
    </row>
    <row r="27" spans="1:6" x14ac:dyDescent="0.25">
      <c r="A27" s="1">
        <v>1609</v>
      </c>
      <c r="B27" t="s">
        <v>118</v>
      </c>
      <c r="C27" t="s">
        <v>298</v>
      </c>
      <c r="D27" t="s">
        <v>201</v>
      </c>
      <c r="E27" s="53">
        <v>20000</v>
      </c>
      <c r="F27" s="53">
        <v>25000</v>
      </c>
    </row>
    <row r="28" spans="1:6" x14ac:dyDescent="0.25">
      <c r="A28" s="1">
        <v>5789</v>
      </c>
      <c r="B28" t="s">
        <v>119</v>
      </c>
      <c r="C28" t="s">
        <v>298</v>
      </c>
      <c r="D28" t="s">
        <v>201</v>
      </c>
      <c r="E28" s="53">
        <v>18000</v>
      </c>
      <c r="F28" s="53">
        <v>20000</v>
      </c>
    </row>
    <row r="29" spans="1:6" x14ac:dyDescent="0.25">
      <c r="A29" s="1">
        <v>5196</v>
      </c>
      <c r="B29" t="s">
        <v>120</v>
      </c>
      <c r="C29" t="s">
        <v>298</v>
      </c>
      <c r="D29" t="s">
        <v>201</v>
      </c>
      <c r="E29" s="53">
        <v>18000</v>
      </c>
      <c r="F29" s="53">
        <v>22000</v>
      </c>
    </row>
    <row r="30" spans="1:6" x14ac:dyDescent="0.25">
      <c r="A30" s="1">
        <v>8216</v>
      </c>
      <c r="B30" t="s">
        <v>121</v>
      </c>
      <c r="C30" t="s">
        <v>298</v>
      </c>
      <c r="D30" t="s">
        <v>202</v>
      </c>
      <c r="E30" s="53">
        <v>40000</v>
      </c>
      <c r="F30" s="53">
        <v>50000</v>
      </c>
    </row>
    <row r="31" spans="1:6" x14ac:dyDescent="0.25">
      <c r="A31" s="1">
        <v>9719</v>
      </c>
      <c r="B31" t="s">
        <v>122</v>
      </c>
      <c r="C31" t="s">
        <v>298</v>
      </c>
      <c r="D31" t="s">
        <v>202</v>
      </c>
      <c r="E31" s="53">
        <v>12000</v>
      </c>
      <c r="F31" s="53">
        <v>15000</v>
      </c>
    </row>
    <row r="32" spans="1:6" x14ac:dyDescent="0.25">
      <c r="A32" s="1">
        <v>3611</v>
      </c>
      <c r="B32" t="s">
        <v>123</v>
      </c>
      <c r="C32" t="s">
        <v>298</v>
      </c>
      <c r="D32" t="s">
        <v>202</v>
      </c>
      <c r="E32" s="53">
        <v>10000</v>
      </c>
      <c r="F32" s="53">
        <v>12000</v>
      </c>
    </row>
    <row r="33" spans="1:6" x14ac:dyDescent="0.25">
      <c r="A33" s="1">
        <v>5102</v>
      </c>
      <c r="B33" t="s">
        <v>124</v>
      </c>
      <c r="C33" t="s">
        <v>298</v>
      </c>
      <c r="D33" t="s">
        <v>202</v>
      </c>
      <c r="E33" s="53">
        <v>15000</v>
      </c>
      <c r="F33" s="53">
        <v>20000</v>
      </c>
    </row>
    <row r="34" spans="1:6" x14ac:dyDescent="0.25">
      <c r="A34" s="1">
        <v>8001</v>
      </c>
      <c r="B34" t="s">
        <v>125</v>
      </c>
      <c r="C34" t="s">
        <v>298</v>
      </c>
      <c r="D34" t="s">
        <v>202</v>
      </c>
      <c r="E34" s="53">
        <v>15000</v>
      </c>
      <c r="F34" s="53">
        <v>18000</v>
      </c>
    </row>
    <row r="35" spans="1:6" x14ac:dyDescent="0.25">
      <c r="A35" s="1">
        <v>6229</v>
      </c>
      <c r="B35" t="s">
        <v>126</v>
      </c>
      <c r="C35" t="s">
        <v>298</v>
      </c>
      <c r="D35" t="s">
        <v>202</v>
      </c>
      <c r="E35" s="53">
        <v>20000</v>
      </c>
      <c r="F35" s="53">
        <v>25000</v>
      </c>
    </row>
    <row r="36" spans="1:6" x14ac:dyDescent="0.25">
      <c r="A36" s="1">
        <v>1686</v>
      </c>
      <c r="B36" t="s">
        <v>127</v>
      </c>
      <c r="C36" t="s">
        <v>298</v>
      </c>
      <c r="D36" t="s">
        <v>202</v>
      </c>
      <c r="E36" s="53">
        <v>18000</v>
      </c>
      <c r="F36" s="53">
        <v>22000</v>
      </c>
    </row>
    <row r="37" spans="1:6" x14ac:dyDescent="0.25">
      <c r="A37" s="1">
        <v>6040</v>
      </c>
      <c r="B37" t="s">
        <v>128</v>
      </c>
      <c r="C37" t="s">
        <v>298</v>
      </c>
      <c r="D37" t="s">
        <v>202</v>
      </c>
      <c r="E37" s="53">
        <v>8000</v>
      </c>
      <c r="F37" s="53">
        <v>10000</v>
      </c>
    </row>
    <row r="38" spans="1:6" x14ac:dyDescent="0.25">
      <c r="A38" s="1">
        <v>2490</v>
      </c>
      <c r="B38" t="s">
        <v>129</v>
      </c>
      <c r="C38" t="s">
        <v>298</v>
      </c>
      <c r="D38" t="s">
        <v>202</v>
      </c>
      <c r="E38" s="53">
        <v>12000</v>
      </c>
      <c r="F38" s="53">
        <v>15000</v>
      </c>
    </row>
    <row r="39" spans="1:6" x14ac:dyDescent="0.25">
      <c r="A39" s="1">
        <v>2192</v>
      </c>
      <c r="B39" t="s">
        <v>130</v>
      </c>
      <c r="C39" t="s">
        <v>298</v>
      </c>
      <c r="D39" t="s">
        <v>203</v>
      </c>
      <c r="E39" s="53">
        <v>55000</v>
      </c>
      <c r="F39" s="53">
        <v>65000</v>
      </c>
    </row>
    <row r="40" spans="1:6" x14ac:dyDescent="0.25">
      <c r="A40" s="1">
        <v>8650</v>
      </c>
      <c r="B40" t="s">
        <v>131</v>
      </c>
      <c r="C40" t="s">
        <v>298</v>
      </c>
      <c r="D40" t="s">
        <v>203</v>
      </c>
      <c r="E40" s="53">
        <v>40000</v>
      </c>
      <c r="F40" s="53">
        <v>50000</v>
      </c>
    </row>
    <row r="41" spans="1:6" x14ac:dyDescent="0.25">
      <c r="A41" s="1">
        <v>9832</v>
      </c>
      <c r="B41" t="s">
        <v>57</v>
      </c>
      <c r="C41" t="s">
        <v>298</v>
      </c>
      <c r="D41" t="s">
        <v>203</v>
      </c>
      <c r="E41" s="53">
        <v>65000</v>
      </c>
      <c r="F41" s="53">
        <v>75000</v>
      </c>
    </row>
    <row r="42" spans="1:6" x14ac:dyDescent="0.25">
      <c r="A42" s="1">
        <v>1572</v>
      </c>
      <c r="B42" t="s">
        <v>56</v>
      </c>
      <c r="C42" t="s">
        <v>298</v>
      </c>
      <c r="D42" t="s">
        <v>203</v>
      </c>
      <c r="E42" s="53">
        <v>50000</v>
      </c>
      <c r="F42" s="53">
        <v>60000</v>
      </c>
    </row>
    <row r="43" spans="1:6" x14ac:dyDescent="0.25">
      <c r="A43" s="1">
        <v>3367</v>
      </c>
      <c r="B43" t="s">
        <v>132</v>
      </c>
      <c r="C43" t="s">
        <v>298</v>
      </c>
      <c r="D43" t="s">
        <v>203</v>
      </c>
      <c r="E43" s="53">
        <v>70000</v>
      </c>
      <c r="F43" s="53">
        <v>80000</v>
      </c>
    </row>
    <row r="44" spans="1:6" x14ac:dyDescent="0.25">
      <c r="A44" s="1">
        <v>4367</v>
      </c>
      <c r="B44" t="s">
        <v>133</v>
      </c>
      <c r="C44" t="s">
        <v>298</v>
      </c>
      <c r="D44" t="s">
        <v>203</v>
      </c>
      <c r="E44" s="53">
        <v>35000</v>
      </c>
      <c r="F44" s="53">
        <v>40000</v>
      </c>
    </row>
    <row r="45" spans="1:6" x14ac:dyDescent="0.25">
      <c r="A45" s="1">
        <v>8777</v>
      </c>
      <c r="B45" t="s">
        <v>134</v>
      </c>
      <c r="C45" t="s">
        <v>298</v>
      </c>
      <c r="D45" t="s">
        <v>203</v>
      </c>
      <c r="E45" s="53">
        <v>30000</v>
      </c>
      <c r="F45" s="53">
        <v>35000</v>
      </c>
    </row>
    <row r="46" spans="1:6" x14ac:dyDescent="0.25">
      <c r="A46" s="1">
        <v>4920</v>
      </c>
      <c r="B46" t="s">
        <v>135</v>
      </c>
      <c r="C46" t="s">
        <v>298</v>
      </c>
      <c r="D46" t="s">
        <v>203</v>
      </c>
      <c r="E46" s="53">
        <v>45000</v>
      </c>
      <c r="F46" s="53">
        <v>55000</v>
      </c>
    </row>
    <row r="47" spans="1:6" x14ac:dyDescent="0.25">
      <c r="A47" s="1">
        <v>5475</v>
      </c>
      <c r="B47" t="s">
        <v>62</v>
      </c>
      <c r="C47" t="s">
        <v>298</v>
      </c>
      <c r="D47" t="s">
        <v>203</v>
      </c>
      <c r="E47" s="53">
        <v>35000</v>
      </c>
      <c r="F47" s="53">
        <v>45000</v>
      </c>
    </row>
    <row r="48" spans="1:6" x14ac:dyDescent="0.25">
      <c r="A48" s="1">
        <v>1345</v>
      </c>
      <c r="B48" t="s">
        <v>136</v>
      </c>
      <c r="C48" t="s">
        <v>298</v>
      </c>
      <c r="D48" t="s">
        <v>204</v>
      </c>
      <c r="E48" s="53">
        <v>8000</v>
      </c>
      <c r="F48" s="53">
        <v>10000</v>
      </c>
    </row>
    <row r="49" spans="1:6" x14ac:dyDescent="0.25">
      <c r="A49" s="1">
        <v>4077</v>
      </c>
      <c r="B49" t="s">
        <v>137</v>
      </c>
      <c r="C49" t="s">
        <v>298</v>
      </c>
      <c r="D49" t="s">
        <v>204</v>
      </c>
      <c r="E49" s="53">
        <v>6000</v>
      </c>
      <c r="F49" s="53">
        <v>8000</v>
      </c>
    </row>
    <row r="50" spans="1:6" x14ac:dyDescent="0.25">
      <c r="A50" s="1">
        <v>1934</v>
      </c>
      <c r="B50" t="s">
        <v>138</v>
      </c>
      <c r="C50" t="s">
        <v>298</v>
      </c>
      <c r="D50" t="s">
        <v>204</v>
      </c>
      <c r="E50" s="53">
        <v>10000</v>
      </c>
      <c r="F50" s="53">
        <v>12000</v>
      </c>
    </row>
    <row r="51" spans="1:6" x14ac:dyDescent="0.25">
      <c r="A51" s="1">
        <v>6481</v>
      </c>
      <c r="B51" t="s">
        <v>139</v>
      </c>
      <c r="C51" t="s">
        <v>298</v>
      </c>
      <c r="D51" t="s">
        <v>204</v>
      </c>
      <c r="E51" s="53">
        <v>30000</v>
      </c>
      <c r="F51" s="53">
        <v>35000</v>
      </c>
    </row>
    <row r="52" spans="1:6" x14ac:dyDescent="0.25">
      <c r="A52" s="1">
        <v>8491</v>
      </c>
      <c r="B52" t="s">
        <v>140</v>
      </c>
      <c r="C52" t="s">
        <v>298</v>
      </c>
      <c r="D52" t="s">
        <v>204</v>
      </c>
      <c r="E52" s="53">
        <v>45000</v>
      </c>
      <c r="F52" s="53">
        <v>50000</v>
      </c>
    </row>
    <row r="53" spans="1:6" x14ac:dyDescent="0.25">
      <c r="A53" s="1">
        <v>9006</v>
      </c>
      <c r="B53" t="s">
        <v>141</v>
      </c>
      <c r="C53" t="s">
        <v>298</v>
      </c>
      <c r="D53" t="s">
        <v>204</v>
      </c>
      <c r="E53" s="53">
        <v>35000</v>
      </c>
      <c r="F53" s="53">
        <v>40000</v>
      </c>
    </row>
    <row r="54" spans="1:6" x14ac:dyDescent="0.25">
      <c r="A54" s="1">
        <v>8611</v>
      </c>
      <c r="B54" t="s">
        <v>142</v>
      </c>
      <c r="C54" t="s">
        <v>298</v>
      </c>
      <c r="D54" t="s">
        <v>204</v>
      </c>
      <c r="E54" s="53">
        <v>35000</v>
      </c>
      <c r="F54" s="53">
        <v>40000</v>
      </c>
    </row>
    <row r="55" spans="1:6" x14ac:dyDescent="0.25">
      <c r="A55" s="1">
        <v>4016</v>
      </c>
      <c r="B55" t="s">
        <v>143</v>
      </c>
      <c r="C55" t="s">
        <v>298</v>
      </c>
      <c r="D55" t="s">
        <v>204</v>
      </c>
      <c r="E55" s="53">
        <v>35000</v>
      </c>
      <c r="F55" s="53">
        <v>40000</v>
      </c>
    </row>
    <row r="56" spans="1:6" x14ac:dyDescent="0.25">
      <c r="A56" s="1">
        <v>2935</v>
      </c>
      <c r="B56" t="s">
        <v>144</v>
      </c>
      <c r="C56" t="s">
        <v>298</v>
      </c>
      <c r="D56" t="s">
        <v>204</v>
      </c>
      <c r="E56" s="53">
        <v>12000</v>
      </c>
      <c r="F56" s="53">
        <v>15000</v>
      </c>
    </row>
    <row r="57" spans="1:6" x14ac:dyDescent="0.25">
      <c r="A57" s="1">
        <v>9665</v>
      </c>
      <c r="B57" t="s">
        <v>145</v>
      </c>
      <c r="C57" t="s">
        <v>298</v>
      </c>
      <c r="D57" t="s">
        <v>205</v>
      </c>
      <c r="E57" s="53">
        <v>8000</v>
      </c>
      <c r="F57" s="53">
        <v>10000</v>
      </c>
    </row>
    <row r="58" spans="1:6" x14ac:dyDescent="0.25">
      <c r="A58" s="1">
        <v>2794</v>
      </c>
      <c r="B58" t="s">
        <v>146</v>
      </c>
      <c r="C58" t="s">
        <v>298</v>
      </c>
      <c r="D58" t="s">
        <v>205</v>
      </c>
      <c r="E58" s="53">
        <v>6000</v>
      </c>
      <c r="F58" s="53">
        <v>8000</v>
      </c>
    </row>
    <row r="59" spans="1:6" x14ac:dyDescent="0.25">
      <c r="A59" s="1">
        <v>2892</v>
      </c>
      <c r="B59" t="s">
        <v>147</v>
      </c>
      <c r="C59" t="s">
        <v>298</v>
      </c>
      <c r="D59" t="s">
        <v>205</v>
      </c>
      <c r="E59" s="53">
        <v>10000</v>
      </c>
      <c r="F59" s="53">
        <v>12000</v>
      </c>
    </row>
    <row r="60" spans="1:6" x14ac:dyDescent="0.25">
      <c r="A60" s="1">
        <v>1685</v>
      </c>
      <c r="B60" t="s">
        <v>148</v>
      </c>
      <c r="C60" t="s">
        <v>298</v>
      </c>
      <c r="D60" t="s">
        <v>205</v>
      </c>
      <c r="E60" s="53">
        <v>12000</v>
      </c>
      <c r="F60" s="53">
        <v>15000</v>
      </c>
    </row>
    <row r="61" spans="1:6" x14ac:dyDescent="0.25">
      <c r="A61" s="1">
        <v>4742</v>
      </c>
      <c r="B61" t="s">
        <v>149</v>
      </c>
      <c r="C61" t="s">
        <v>298</v>
      </c>
      <c r="D61" t="s">
        <v>205</v>
      </c>
      <c r="E61" s="53">
        <v>30000</v>
      </c>
      <c r="F61" s="53">
        <v>35000</v>
      </c>
    </row>
    <row r="62" spans="1:6" x14ac:dyDescent="0.25">
      <c r="A62" s="1">
        <v>1410</v>
      </c>
      <c r="B62" t="s">
        <v>150</v>
      </c>
      <c r="C62" t="s">
        <v>298</v>
      </c>
      <c r="D62" t="s">
        <v>205</v>
      </c>
      <c r="E62" s="53">
        <v>18000</v>
      </c>
      <c r="F62" s="53">
        <v>20000</v>
      </c>
    </row>
    <row r="63" spans="1:6" x14ac:dyDescent="0.25">
      <c r="A63" s="1">
        <v>1764</v>
      </c>
      <c r="B63" t="s">
        <v>151</v>
      </c>
      <c r="C63" t="s">
        <v>298</v>
      </c>
      <c r="D63" t="s">
        <v>205</v>
      </c>
      <c r="E63" s="53">
        <v>18000</v>
      </c>
      <c r="F63" s="53">
        <v>20000</v>
      </c>
    </row>
    <row r="64" spans="1:6" x14ac:dyDescent="0.25">
      <c r="A64" s="1">
        <v>8637</v>
      </c>
      <c r="B64" t="s">
        <v>152</v>
      </c>
      <c r="C64" t="s">
        <v>298</v>
      </c>
      <c r="D64" t="s">
        <v>205</v>
      </c>
      <c r="E64" s="53">
        <v>12000</v>
      </c>
      <c r="F64" s="53">
        <v>15000</v>
      </c>
    </row>
    <row r="65" spans="1:6" x14ac:dyDescent="0.25">
      <c r="A65" s="1">
        <v>5314</v>
      </c>
      <c r="B65" t="s">
        <v>153</v>
      </c>
      <c r="C65" t="s">
        <v>298</v>
      </c>
      <c r="D65" t="s">
        <v>205</v>
      </c>
      <c r="E65" s="53">
        <v>15000</v>
      </c>
      <c r="F65" s="53">
        <v>18000</v>
      </c>
    </row>
    <row r="66" spans="1:6" x14ac:dyDescent="0.25">
      <c r="A66" s="1">
        <v>9363</v>
      </c>
      <c r="B66" t="s">
        <v>154</v>
      </c>
      <c r="C66" t="s">
        <v>298</v>
      </c>
      <c r="D66" t="s">
        <v>206</v>
      </c>
      <c r="E66" s="53">
        <v>8000</v>
      </c>
      <c r="F66" s="53">
        <v>10000</v>
      </c>
    </row>
    <row r="67" spans="1:6" x14ac:dyDescent="0.25">
      <c r="A67" s="1">
        <v>1114</v>
      </c>
      <c r="B67" t="s">
        <v>155</v>
      </c>
      <c r="C67" t="s">
        <v>298</v>
      </c>
      <c r="D67" t="s">
        <v>206</v>
      </c>
      <c r="E67" s="53">
        <v>4000</v>
      </c>
      <c r="F67" s="53">
        <v>5000</v>
      </c>
    </row>
    <row r="68" spans="1:6" x14ac:dyDescent="0.25">
      <c r="A68" s="1">
        <v>9917</v>
      </c>
      <c r="B68" t="s">
        <v>156</v>
      </c>
      <c r="C68" t="s">
        <v>298</v>
      </c>
      <c r="D68" t="s">
        <v>206</v>
      </c>
      <c r="E68" s="53">
        <v>5000</v>
      </c>
      <c r="F68" s="53">
        <v>7000</v>
      </c>
    </row>
    <row r="69" spans="1:6" x14ac:dyDescent="0.25">
      <c r="A69" s="1">
        <v>6796</v>
      </c>
      <c r="B69" t="s">
        <v>157</v>
      </c>
      <c r="C69" t="s">
        <v>298</v>
      </c>
      <c r="D69" t="s">
        <v>206</v>
      </c>
      <c r="E69" s="53">
        <v>12000</v>
      </c>
      <c r="F69" s="53">
        <v>15000</v>
      </c>
    </row>
    <row r="70" spans="1:6" x14ac:dyDescent="0.25">
      <c r="A70" s="1">
        <v>3741</v>
      </c>
      <c r="B70" t="s">
        <v>158</v>
      </c>
      <c r="C70" t="s">
        <v>298</v>
      </c>
      <c r="D70" t="s">
        <v>206</v>
      </c>
      <c r="E70" s="53">
        <v>6000</v>
      </c>
      <c r="F70" s="53">
        <v>8000</v>
      </c>
    </row>
    <row r="71" spans="1:6" x14ac:dyDescent="0.25">
      <c r="A71" s="1">
        <v>1300</v>
      </c>
      <c r="B71" t="s">
        <v>159</v>
      </c>
      <c r="C71" t="s">
        <v>298</v>
      </c>
      <c r="D71" t="s">
        <v>206</v>
      </c>
      <c r="E71" s="53">
        <v>4000</v>
      </c>
      <c r="F71" s="53">
        <v>6000</v>
      </c>
    </row>
    <row r="72" spans="1:6" x14ac:dyDescent="0.25">
      <c r="A72" s="1">
        <v>3496</v>
      </c>
      <c r="B72" t="s">
        <v>160</v>
      </c>
      <c r="C72" t="s">
        <v>298</v>
      </c>
      <c r="D72" t="s">
        <v>206</v>
      </c>
      <c r="E72" s="53">
        <v>4000</v>
      </c>
      <c r="F72" s="53">
        <v>5000</v>
      </c>
    </row>
    <row r="73" spans="1:6" x14ac:dyDescent="0.25">
      <c r="A73" s="1">
        <v>6356</v>
      </c>
      <c r="B73" t="s">
        <v>161</v>
      </c>
      <c r="C73" t="s">
        <v>298</v>
      </c>
      <c r="D73" t="s">
        <v>206</v>
      </c>
      <c r="E73" s="53">
        <v>8000</v>
      </c>
      <c r="F73" s="53">
        <v>10000</v>
      </c>
    </row>
    <row r="74" spans="1:6" x14ac:dyDescent="0.25">
      <c r="A74" s="1">
        <v>3709</v>
      </c>
      <c r="B74" t="s">
        <v>162</v>
      </c>
      <c r="C74" t="s">
        <v>298</v>
      </c>
      <c r="D74" t="s">
        <v>206</v>
      </c>
      <c r="E74" s="53">
        <v>10000</v>
      </c>
      <c r="F74" s="53">
        <v>12000</v>
      </c>
    </row>
    <row r="75" spans="1:6" x14ac:dyDescent="0.25">
      <c r="A75" s="1">
        <v>5223</v>
      </c>
      <c r="B75" t="s">
        <v>163</v>
      </c>
      <c r="C75" t="s">
        <v>298</v>
      </c>
      <c r="D75" t="s">
        <v>207</v>
      </c>
      <c r="E75" s="53">
        <v>25000</v>
      </c>
      <c r="F75" s="53">
        <v>30000</v>
      </c>
    </row>
    <row r="76" spans="1:6" x14ac:dyDescent="0.25">
      <c r="A76" s="1">
        <v>9466</v>
      </c>
      <c r="B76" t="s">
        <v>164</v>
      </c>
      <c r="C76" t="s">
        <v>298</v>
      </c>
      <c r="D76" t="s">
        <v>207</v>
      </c>
      <c r="E76" s="53">
        <v>15000</v>
      </c>
      <c r="F76" s="53">
        <v>20000</v>
      </c>
    </row>
    <row r="77" spans="1:6" x14ac:dyDescent="0.25">
      <c r="A77" s="1">
        <v>5452</v>
      </c>
      <c r="B77" t="s">
        <v>165</v>
      </c>
      <c r="C77" t="s">
        <v>298</v>
      </c>
      <c r="D77" t="s">
        <v>207</v>
      </c>
      <c r="E77" s="53">
        <v>30000</v>
      </c>
      <c r="F77" s="53">
        <v>35000</v>
      </c>
    </row>
    <row r="78" spans="1:6" x14ac:dyDescent="0.25">
      <c r="A78" s="1">
        <v>7809</v>
      </c>
      <c r="B78" t="s">
        <v>166</v>
      </c>
      <c r="C78" t="s">
        <v>298</v>
      </c>
      <c r="D78" t="s">
        <v>207</v>
      </c>
      <c r="E78" s="53">
        <v>20000</v>
      </c>
      <c r="F78" s="53">
        <v>25000</v>
      </c>
    </row>
    <row r="79" spans="1:6" x14ac:dyDescent="0.25">
      <c r="A79" s="1">
        <v>2561</v>
      </c>
      <c r="B79" t="s">
        <v>167</v>
      </c>
      <c r="C79" t="s">
        <v>298</v>
      </c>
      <c r="D79" t="s">
        <v>207</v>
      </c>
      <c r="E79" s="53">
        <v>35000</v>
      </c>
      <c r="F79" s="53">
        <v>40000</v>
      </c>
    </row>
    <row r="80" spans="1:6" x14ac:dyDescent="0.25">
      <c r="A80" s="1">
        <v>8737</v>
      </c>
      <c r="B80" t="s">
        <v>168</v>
      </c>
      <c r="C80" t="s">
        <v>298</v>
      </c>
      <c r="D80" t="s">
        <v>207</v>
      </c>
      <c r="E80" s="53">
        <v>40000</v>
      </c>
      <c r="F80" s="53">
        <v>45000</v>
      </c>
    </row>
    <row r="81" spans="1:6" x14ac:dyDescent="0.25">
      <c r="A81" s="1">
        <v>7107</v>
      </c>
      <c r="B81" t="s">
        <v>169</v>
      </c>
      <c r="C81" t="s">
        <v>298</v>
      </c>
      <c r="D81" t="s">
        <v>207</v>
      </c>
      <c r="E81" s="53">
        <v>25000</v>
      </c>
      <c r="F81" s="53">
        <v>30000</v>
      </c>
    </row>
    <row r="82" spans="1:6" x14ac:dyDescent="0.25">
      <c r="A82" s="1">
        <v>8894</v>
      </c>
      <c r="B82" t="s">
        <v>170</v>
      </c>
      <c r="C82" t="s">
        <v>298</v>
      </c>
      <c r="D82" t="s">
        <v>207</v>
      </c>
      <c r="E82" s="53">
        <v>45000</v>
      </c>
      <c r="F82" s="53">
        <v>50000</v>
      </c>
    </row>
    <row r="83" spans="1:6" x14ac:dyDescent="0.25">
      <c r="A83" s="1">
        <v>2043</v>
      </c>
      <c r="B83" t="s">
        <v>171</v>
      </c>
      <c r="C83" t="s">
        <v>298</v>
      </c>
      <c r="D83" t="s">
        <v>207</v>
      </c>
      <c r="E83" s="53">
        <v>50000</v>
      </c>
      <c r="F83" s="53">
        <v>55000</v>
      </c>
    </row>
    <row r="84" spans="1:6" x14ac:dyDescent="0.25">
      <c r="A84" s="1">
        <v>1193</v>
      </c>
      <c r="B84" t="s">
        <v>172</v>
      </c>
      <c r="C84" t="s">
        <v>298</v>
      </c>
      <c r="D84" t="s">
        <v>208</v>
      </c>
      <c r="E84" s="53">
        <v>15000</v>
      </c>
      <c r="F84" s="53">
        <v>20000</v>
      </c>
    </row>
    <row r="85" spans="1:6" x14ac:dyDescent="0.25">
      <c r="A85" s="1">
        <v>9823</v>
      </c>
      <c r="B85" t="s">
        <v>173</v>
      </c>
      <c r="C85" t="s">
        <v>298</v>
      </c>
      <c r="D85" t="s">
        <v>208</v>
      </c>
      <c r="E85" s="53">
        <v>120000</v>
      </c>
      <c r="F85" s="53">
        <v>150000</v>
      </c>
    </row>
    <row r="86" spans="1:6" x14ac:dyDescent="0.25">
      <c r="A86" s="1">
        <v>4201</v>
      </c>
      <c r="B86" t="s">
        <v>174</v>
      </c>
      <c r="C86" t="s">
        <v>298</v>
      </c>
      <c r="D86" t="s">
        <v>208</v>
      </c>
      <c r="E86" s="53">
        <v>170000</v>
      </c>
      <c r="F86" s="53">
        <v>200000</v>
      </c>
    </row>
    <row r="87" spans="1:6" x14ac:dyDescent="0.25">
      <c r="A87" s="1">
        <v>7894</v>
      </c>
      <c r="B87" t="s">
        <v>175</v>
      </c>
      <c r="C87" t="s">
        <v>298</v>
      </c>
      <c r="D87" t="s">
        <v>208</v>
      </c>
      <c r="E87" s="53">
        <v>150000</v>
      </c>
      <c r="F87" s="53">
        <v>180000</v>
      </c>
    </row>
    <row r="88" spans="1:6" x14ac:dyDescent="0.25">
      <c r="A88" s="1">
        <v>2545</v>
      </c>
      <c r="B88" t="s">
        <v>176</v>
      </c>
      <c r="C88" t="s">
        <v>298</v>
      </c>
      <c r="D88" t="s">
        <v>208</v>
      </c>
      <c r="E88" s="53">
        <v>30000</v>
      </c>
      <c r="F88" s="53">
        <v>40000</v>
      </c>
    </row>
    <row r="89" spans="1:6" x14ac:dyDescent="0.25">
      <c r="A89" s="1">
        <v>5787</v>
      </c>
      <c r="B89" t="s">
        <v>177</v>
      </c>
      <c r="C89" t="s">
        <v>298</v>
      </c>
      <c r="D89" t="s">
        <v>208</v>
      </c>
      <c r="E89" s="53">
        <v>20000</v>
      </c>
      <c r="F89" s="53">
        <v>25000</v>
      </c>
    </row>
    <row r="90" spans="1:6" x14ac:dyDescent="0.25">
      <c r="A90" s="1">
        <v>2221</v>
      </c>
      <c r="B90" t="s">
        <v>178</v>
      </c>
      <c r="C90" t="s">
        <v>298</v>
      </c>
      <c r="D90" t="s">
        <v>208</v>
      </c>
      <c r="E90" s="53">
        <v>25000</v>
      </c>
      <c r="F90" s="53">
        <v>30000</v>
      </c>
    </row>
    <row r="91" spans="1:6" x14ac:dyDescent="0.25">
      <c r="A91" s="1">
        <v>9828</v>
      </c>
      <c r="B91" t="s">
        <v>179</v>
      </c>
      <c r="C91" t="s">
        <v>298</v>
      </c>
      <c r="D91" t="s">
        <v>208</v>
      </c>
      <c r="E91" s="53">
        <v>12000</v>
      </c>
      <c r="F91" s="53">
        <v>15000</v>
      </c>
    </row>
    <row r="92" spans="1:6" x14ac:dyDescent="0.25">
      <c r="A92" s="1">
        <v>3698</v>
      </c>
      <c r="B92" t="s">
        <v>180</v>
      </c>
      <c r="C92" t="s">
        <v>298</v>
      </c>
      <c r="D92" t="s">
        <v>208</v>
      </c>
      <c r="E92" s="53">
        <v>30000</v>
      </c>
      <c r="F92" s="53">
        <v>35000</v>
      </c>
    </row>
    <row r="93" spans="1:6" x14ac:dyDescent="0.25">
      <c r="A93" s="1">
        <v>4311</v>
      </c>
      <c r="B93" t="s">
        <v>181</v>
      </c>
      <c r="C93" t="s">
        <v>298</v>
      </c>
      <c r="D93" t="s">
        <v>209</v>
      </c>
      <c r="E93" s="53">
        <v>15000</v>
      </c>
      <c r="F93" s="53">
        <v>18000</v>
      </c>
    </row>
    <row r="94" spans="1:6" x14ac:dyDescent="0.25">
      <c r="A94" s="1">
        <v>1351</v>
      </c>
      <c r="B94" t="s">
        <v>182</v>
      </c>
      <c r="C94" t="s">
        <v>298</v>
      </c>
      <c r="D94" t="s">
        <v>209</v>
      </c>
      <c r="E94" s="53">
        <v>20000</v>
      </c>
      <c r="F94" s="53">
        <v>25000</v>
      </c>
    </row>
    <row r="95" spans="1:6" x14ac:dyDescent="0.25">
      <c r="A95" s="1">
        <v>2454</v>
      </c>
      <c r="B95" t="s">
        <v>183</v>
      </c>
      <c r="C95" t="s">
        <v>298</v>
      </c>
      <c r="D95" t="s">
        <v>209</v>
      </c>
      <c r="E95" s="53">
        <v>18000</v>
      </c>
      <c r="F95" s="53">
        <v>20000</v>
      </c>
    </row>
    <row r="96" spans="1:6" x14ac:dyDescent="0.25">
      <c r="A96" s="1">
        <v>4451</v>
      </c>
      <c r="B96" t="s">
        <v>184</v>
      </c>
      <c r="C96" t="s">
        <v>298</v>
      </c>
      <c r="D96" t="s">
        <v>209</v>
      </c>
      <c r="E96" s="53">
        <v>120000</v>
      </c>
      <c r="F96" s="53">
        <v>150000</v>
      </c>
    </row>
    <row r="97" spans="1:6" x14ac:dyDescent="0.25">
      <c r="A97" s="1">
        <v>4975</v>
      </c>
      <c r="B97" t="s">
        <v>185</v>
      </c>
      <c r="C97" t="s">
        <v>298</v>
      </c>
      <c r="D97" t="s">
        <v>209</v>
      </c>
      <c r="E97" s="53">
        <v>170000</v>
      </c>
      <c r="F97" s="53">
        <v>200000</v>
      </c>
    </row>
    <row r="98" spans="1:6" x14ac:dyDescent="0.25">
      <c r="A98" s="1">
        <v>7652</v>
      </c>
      <c r="B98" t="s">
        <v>186</v>
      </c>
      <c r="C98" t="s">
        <v>298</v>
      </c>
      <c r="D98" t="s">
        <v>209</v>
      </c>
      <c r="E98" s="53">
        <v>80000</v>
      </c>
      <c r="F98" s="53">
        <v>100000</v>
      </c>
    </row>
    <row r="99" spans="1:6" x14ac:dyDescent="0.25">
      <c r="A99" s="1">
        <v>7324</v>
      </c>
      <c r="B99" t="s">
        <v>187</v>
      </c>
      <c r="C99" t="s">
        <v>298</v>
      </c>
      <c r="D99" t="s">
        <v>209</v>
      </c>
      <c r="E99" s="53">
        <v>40000</v>
      </c>
      <c r="F99" s="53">
        <v>50000</v>
      </c>
    </row>
    <row r="100" spans="1:6" x14ac:dyDescent="0.25">
      <c r="A100" s="1">
        <v>1831</v>
      </c>
      <c r="B100" t="s">
        <v>188</v>
      </c>
      <c r="C100" t="s">
        <v>298</v>
      </c>
      <c r="D100" t="s">
        <v>209</v>
      </c>
      <c r="E100" s="53">
        <v>120000</v>
      </c>
      <c r="F100" s="53">
        <v>150000</v>
      </c>
    </row>
    <row r="101" spans="1:6" x14ac:dyDescent="0.25">
      <c r="A101" s="1">
        <v>7722</v>
      </c>
      <c r="B101" t="s">
        <v>189</v>
      </c>
      <c r="C101" t="s">
        <v>298</v>
      </c>
      <c r="D101" t="s">
        <v>209</v>
      </c>
      <c r="E101" s="53">
        <v>8000</v>
      </c>
      <c r="F101" s="53">
        <v>10000</v>
      </c>
    </row>
    <row r="102" spans="1:6" x14ac:dyDescent="0.25">
      <c r="A102" s="1">
        <v>1723</v>
      </c>
      <c r="B102" t="s">
        <v>190</v>
      </c>
      <c r="C102" t="s">
        <v>298</v>
      </c>
      <c r="D102" t="s">
        <v>210</v>
      </c>
      <c r="E102" s="53">
        <v>70000</v>
      </c>
      <c r="F102" s="53">
        <v>80000</v>
      </c>
    </row>
    <row r="103" spans="1:6" x14ac:dyDescent="0.25">
      <c r="A103" s="1">
        <v>7698</v>
      </c>
      <c r="B103" t="s">
        <v>191</v>
      </c>
      <c r="C103" t="s">
        <v>298</v>
      </c>
      <c r="D103" t="s">
        <v>210</v>
      </c>
      <c r="E103" s="53">
        <v>50000</v>
      </c>
      <c r="F103" s="53">
        <v>60000</v>
      </c>
    </row>
    <row r="104" spans="1:6" x14ac:dyDescent="0.25">
      <c r="A104" s="1">
        <v>6201</v>
      </c>
      <c r="B104" t="s">
        <v>192</v>
      </c>
      <c r="C104" t="s">
        <v>298</v>
      </c>
      <c r="D104" t="s">
        <v>210</v>
      </c>
      <c r="E104" s="53">
        <v>90000</v>
      </c>
      <c r="F104" s="53">
        <v>100000</v>
      </c>
    </row>
    <row r="105" spans="1:6" x14ac:dyDescent="0.25">
      <c r="A105" s="1">
        <v>9465</v>
      </c>
      <c r="B105" t="s">
        <v>193</v>
      </c>
      <c r="C105" t="s">
        <v>298</v>
      </c>
      <c r="D105" t="s">
        <v>210</v>
      </c>
      <c r="E105" s="53">
        <v>100000</v>
      </c>
      <c r="F105" s="53">
        <v>120000</v>
      </c>
    </row>
    <row r="106" spans="1:6" x14ac:dyDescent="0.25">
      <c r="A106" s="1">
        <v>5732</v>
      </c>
      <c r="B106" t="s">
        <v>194</v>
      </c>
      <c r="C106" t="s">
        <v>298</v>
      </c>
      <c r="D106" t="s">
        <v>210</v>
      </c>
      <c r="E106" s="53">
        <v>80000</v>
      </c>
      <c r="F106" s="53">
        <v>90000</v>
      </c>
    </row>
    <row r="107" spans="1:6" x14ac:dyDescent="0.25">
      <c r="A107" s="1">
        <v>7475</v>
      </c>
      <c r="B107" t="s">
        <v>195</v>
      </c>
      <c r="C107" t="s">
        <v>298</v>
      </c>
      <c r="D107" t="s">
        <v>210</v>
      </c>
      <c r="E107" s="53">
        <v>40000</v>
      </c>
      <c r="F107" s="53">
        <v>50000</v>
      </c>
    </row>
    <row r="108" spans="1:6" x14ac:dyDescent="0.25">
      <c r="A108" s="1">
        <v>8934</v>
      </c>
      <c r="B108" t="s">
        <v>196</v>
      </c>
      <c r="C108" t="s">
        <v>298</v>
      </c>
      <c r="D108" t="s">
        <v>210</v>
      </c>
      <c r="E108" s="53">
        <v>180000</v>
      </c>
      <c r="F108" s="53">
        <v>200000</v>
      </c>
    </row>
    <row r="109" spans="1:6" x14ac:dyDescent="0.25">
      <c r="A109" s="1">
        <v>2706</v>
      </c>
      <c r="B109" t="s">
        <v>197</v>
      </c>
      <c r="C109" t="s">
        <v>298</v>
      </c>
      <c r="D109" t="s">
        <v>210</v>
      </c>
      <c r="E109" s="53">
        <v>130000</v>
      </c>
      <c r="F109" s="53">
        <v>150000</v>
      </c>
    </row>
    <row r="110" spans="1:6" x14ac:dyDescent="0.25">
      <c r="A110" s="1">
        <v>9444</v>
      </c>
      <c r="B110" t="s">
        <v>198</v>
      </c>
      <c r="C110" t="s">
        <v>298</v>
      </c>
      <c r="D110" t="s">
        <v>210</v>
      </c>
      <c r="E110" s="53">
        <v>140000</v>
      </c>
      <c r="F110" s="53">
        <v>160000</v>
      </c>
    </row>
    <row r="111" spans="1:6" x14ac:dyDescent="0.25">
      <c r="A111" s="1">
        <v>4788</v>
      </c>
      <c r="B111" t="s">
        <v>305</v>
      </c>
      <c r="C111" t="s">
        <v>299</v>
      </c>
      <c r="D111" t="s">
        <v>211</v>
      </c>
      <c r="E111" s="53">
        <v>10000</v>
      </c>
      <c r="F111" s="53">
        <v>12000</v>
      </c>
    </row>
    <row r="112" spans="1:6" x14ac:dyDescent="0.25">
      <c r="A112" s="1">
        <v>6825</v>
      </c>
      <c r="B112" t="s">
        <v>306</v>
      </c>
      <c r="C112" t="s">
        <v>299</v>
      </c>
      <c r="D112" t="s">
        <v>211</v>
      </c>
      <c r="E112" s="53">
        <v>25000</v>
      </c>
      <c r="F112" s="53">
        <v>30000</v>
      </c>
    </row>
    <row r="113" spans="1:6" x14ac:dyDescent="0.25">
      <c r="A113" s="1">
        <v>1785</v>
      </c>
      <c r="B113" t="s">
        <v>307</v>
      </c>
      <c r="C113" t="s">
        <v>299</v>
      </c>
      <c r="D113" t="s">
        <v>211</v>
      </c>
      <c r="E113" s="53">
        <v>15000</v>
      </c>
      <c r="F113" s="53">
        <v>18000</v>
      </c>
    </row>
    <row r="114" spans="1:6" x14ac:dyDescent="0.25">
      <c r="A114" s="1">
        <v>3306</v>
      </c>
      <c r="B114" t="s">
        <v>308</v>
      </c>
      <c r="C114" t="s">
        <v>299</v>
      </c>
      <c r="D114" t="s">
        <v>211</v>
      </c>
      <c r="E114" s="53">
        <v>16000</v>
      </c>
      <c r="F114" s="53">
        <v>20000</v>
      </c>
    </row>
    <row r="115" spans="1:6" x14ac:dyDescent="0.25">
      <c r="A115" s="1">
        <v>2050</v>
      </c>
      <c r="B115" t="s">
        <v>309</v>
      </c>
      <c r="C115" t="s">
        <v>299</v>
      </c>
      <c r="D115" t="s">
        <v>211</v>
      </c>
      <c r="E115" s="53">
        <v>17000</v>
      </c>
      <c r="F115" s="53">
        <v>21000</v>
      </c>
    </row>
    <row r="116" spans="1:6" x14ac:dyDescent="0.25">
      <c r="A116" s="1">
        <v>4655</v>
      </c>
      <c r="B116" t="s">
        <v>310</v>
      </c>
      <c r="C116" t="s">
        <v>299</v>
      </c>
      <c r="D116" t="s">
        <v>211</v>
      </c>
      <c r="E116" s="53">
        <v>18000</v>
      </c>
      <c r="F116" s="53">
        <v>22000</v>
      </c>
    </row>
    <row r="117" spans="1:6" x14ac:dyDescent="0.25">
      <c r="A117" s="1">
        <v>4103</v>
      </c>
      <c r="B117" t="s">
        <v>311</v>
      </c>
      <c r="C117" t="s">
        <v>299</v>
      </c>
      <c r="D117" t="s">
        <v>211</v>
      </c>
      <c r="E117" s="53">
        <v>12000</v>
      </c>
      <c r="F117" s="53">
        <v>15000</v>
      </c>
    </row>
    <row r="118" spans="1:6" x14ac:dyDescent="0.25">
      <c r="A118" s="1">
        <v>3381</v>
      </c>
      <c r="B118" t="s">
        <v>312</v>
      </c>
      <c r="C118" t="s">
        <v>299</v>
      </c>
      <c r="D118" t="s">
        <v>211</v>
      </c>
      <c r="E118" s="53">
        <v>20000</v>
      </c>
      <c r="F118" s="53">
        <v>25000</v>
      </c>
    </row>
    <row r="119" spans="1:6" x14ac:dyDescent="0.25">
      <c r="A119" s="1">
        <v>5312</v>
      </c>
      <c r="B119" t="s">
        <v>313</v>
      </c>
      <c r="C119" t="s">
        <v>299</v>
      </c>
      <c r="D119" t="s">
        <v>211</v>
      </c>
      <c r="E119" s="53">
        <v>14000</v>
      </c>
      <c r="F119" s="53">
        <v>17000</v>
      </c>
    </row>
    <row r="120" spans="1:6" x14ac:dyDescent="0.25">
      <c r="A120" s="1">
        <v>3278</v>
      </c>
      <c r="B120" t="s">
        <v>314</v>
      </c>
      <c r="C120" t="s">
        <v>299</v>
      </c>
      <c r="D120" t="s">
        <v>212</v>
      </c>
      <c r="E120" s="53">
        <v>80000</v>
      </c>
      <c r="F120" s="53">
        <v>100000</v>
      </c>
    </row>
    <row r="121" spans="1:6" x14ac:dyDescent="0.25">
      <c r="A121" s="1">
        <v>4445</v>
      </c>
      <c r="B121" t="s">
        <v>315</v>
      </c>
      <c r="C121" t="s">
        <v>299</v>
      </c>
      <c r="D121" t="s">
        <v>212</v>
      </c>
      <c r="E121" s="53">
        <v>85000</v>
      </c>
      <c r="F121" s="53">
        <v>105000</v>
      </c>
    </row>
    <row r="122" spans="1:6" x14ac:dyDescent="0.25">
      <c r="A122" s="1">
        <v>3499</v>
      </c>
      <c r="B122" t="s">
        <v>316</v>
      </c>
      <c r="C122" t="s">
        <v>299</v>
      </c>
      <c r="D122" t="s">
        <v>212</v>
      </c>
      <c r="E122" s="53">
        <v>90000</v>
      </c>
      <c r="F122" s="53">
        <v>110000</v>
      </c>
    </row>
    <row r="123" spans="1:6" x14ac:dyDescent="0.25">
      <c r="A123" s="1">
        <v>4762</v>
      </c>
      <c r="B123" t="s">
        <v>317</v>
      </c>
      <c r="C123" t="s">
        <v>299</v>
      </c>
      <c r="D123" t="s">
        <v>212</v>
      </c>
      <c r="E123" s="53">
        <v>120000</v>
      </c>
      <c r="F123" s="53">
        <v>150000</v>
      </c>
    </row>
    <row r="124" spans="1:6" x14ac:dyDescent="0.25">
      <c r="A124" s="1">
        <v>4943</v>
      </c>
      <c r="B124" t="s">
        <v>318</v>
      </c>
      <c r="C124" t="s">
        <v>299</v>
      </c>
      <c r="D124" t="s">
        <v>212</v>
      </c>
      <c r="E124" s="53">
        <v>100000</v>
      </c>
      <c r="F124" s="53">
        <v>125000</v>
      </c>
    </row>
    <row r="125" spans="1:6" x14ac:dyDescent="0.25">
      <c r="A125" s="1">
        <v>6144</v>
      </c>
      <c r="B125" t="s">
        <v>319</v>
      </c>
      <c r="C125" t="s">
        <v>299</v>
      </c>
      <c r="D125" t="s">
        <v>212</v>
      </c>
      <c r="E125" s="53">
        <v>130000</v>
      </c>
      <c r="F125" s="53">
        <v>160000</v>
      </c>
    </row>
    <row r="126" spans="1:6" x14ac:dyDescent="0.25">
      <c r="A126" s="1">
        <v>8542</v>
      </c>
      <c r="B126" t="s">
        <v>320</v>
      </c>
      <c r="C126" t="s">
        <v>299</v>
      </c>
      <c r="D126" t="s">
        <v>212</v>
      </c>
      <c r="E126" s="53">
        <v>110000</v>
      </c>
      <c r="F126" s="53">
        <v>135000</v>
      </c>
    </row>
    <row r="127" spans="1:6" x14ac:dyDescent="0.25">
      <c r="A127" s="1">
        <v>1835</v>
      </c>
      <c r="B127" t="s">
        <v>321</v>
      </c>
      <c r="C127" t="s">
        <v>299</v>
      </c>
      <c r="D127" t="s">
        <v>212</v>
      </c>
      <c r="E127" s="53">
        <v>95000</v>
      </c>
      <c r="F127" s="53">
        <v>115000</v>
      </c>
    </row>
    <row r="128" spans="1:6" x14ac:dyDescent="0.25">
      <c r="A128" s="1">
        <v>8719</v>
      </c>
      <c r="B128" t="s">
        <v>322</v>
      </c>
      <c r="C128" t="s">
        <v>299</v>
      </c>
      <c r="D128" t="s">
        <v>212</v>
      </c>
      <c r="E128" s="53">
        <v>90000</v>
      </c>
      <c r="F128" s="53">
        <v>110000</v>
      </c>
    </row>
    <row r="129" spans="1:6" x14ac:dyDescent="0.25">
      <c r="A129" s="1">
        <v>2691</v>
      </c>
      <c r="B129" t="s">
        <v>323</v>
      </c>
      <c r="C129" t="s">
        <v>299</v>
      </c>
      <c r="D129" t="s">
        <v>213</v>
      </c>
      <c r="E129" s="53">
        <v>12000</v>
      </c>
      <c r="F129" s="53">
        <v>15000</v>
      </c>
    </row>
    <row r="130" spans="1:6" x14ac:dyDescent="0.25">
      <c r="A130" s="1">
        <v>6602</v>
      </c>
      <c r="B130" t="s">
        <v>324</v>
      </c>
      <c r="C130" t="s">
        <v>299</v>
      </c>
      <c r="D130" t="s">
        <v>213</v>
      </c>
      <c r="E130" s="53">
        <v>13000</v>
      </c>
      <c r="F130" s="53">
        <v>16000</v>
      </c>
    </row>
    <row r="131" spans="1:6" x14ac:dyDescent="0.25">
      <c r="A131" s="1">
        <v>7955</v>
      </c>
      <c r="B131" t="s">
        <v>325</v>
      </c>
      <c r="C131" t="s">
        <v>299</v>
      </c>
      <c r="D131" t="s">
        <v>213</v>
      </c>
      <c r="E131" s="53">
        <v>14000</v>
      </c>
      <c r="F131" s="53">
        <v>17000</v>
      </c>
    </row>
    <row r="132" spans="1:6" x14ac:dyDescent="0.25">
      <c r="A132" s="1">
        <v>2343</v>
      </c>
      <c r="B132" t="s">
        <v>326</v>
      </c>
      <c r="C132" t="s">
        <v>299</v>
      </c>
      <c r="D132" t="s">
        <v>213</v>
      </c>
      <c r="E132" s="53">
        <v>13500</v>
      </c>
      <c r="F132" s="53">
        <v>16500</v>
      </c>
    </row>
    <row r="133" spans="1:6" x14ac:dyDescent="0.25">
      <c r="A133" s="1">
        <v>8435</v>
      </c>
      <c r="B133" t="s">
        <v>327</v>
      </c>
      <c r="C133" t="s">
        <v>299</v>
      </c>
      <c r="D133" t="s">
        <v>213</v>
      </c>
      <c r="E133" s="53">
        <v>15000</v>
      </c>
      <c r="F133" s="53">
        <v>18000</v>
      </c>
    </row>
    <row r="134" spans="1:6" x14ac:dyDescent="0.25">
      <c r="A134" s="1">
        <v>6858</v>
      </c>
      <c r="B134" t="s">
        <v>328</v>
      </c>
      <c r="C134" t="s">
        <v>299</v>
      </c>
      <c r="D134" t="s">
        <v>213</v>
      </c>
      <c r="E134" s="53">
        <v>16000</v>
      </c>
      <c r="F134" s="53">
        <v>19000</v>
      </c>
    </row>
    <row r="135" spans="1:6" x14ac:dyDescent="0.25">
      <c r="A135" s="1">
        <v>5600</v>
      </c>
      <c r="B135" t="s">
        <v>329</v>
      </c>
      <c r="C135" t="s">
        <v>299</v>
      </c>
      <c r="D135" t="s">
        <v>213</v>
      </c>
      <c r="E135" s="53">
        <v>17000</v>
      </c>
      <c r="F135" s="53">
        <v>20000</v>
      </c>
    </row>
    <row r="136" spans="1:6" x14ac:dyDescent="0.25">
      <c r="A136" s="1">
        <v>6380</v>
      </c>
      <c r="B136" t="s">
        <v>330</v>
      </c>
      <c r="C136" t="s">
        <v>299</v>
      </c>
      <c r="D136" t="s">
        <v>213</v>
      </c>
      <c r="E136" s="53">
        <v>14000</v>
      </c>
      <c r="F136" s="53">
        <v>17000</v>
      </c>
    </row>
    <row r="137" spans="1:6" x14ac:dyDescent="0.25">
      <c r="A137" s="1">
        <v>8705</v>
      </c>
      <c r="B137" t="s">
        <v>331</v>
      </c>
      <c r="C137" t="s">
        <v>299</v>
      </c>
      <c r="D137" t="s">
        <v>213</v>
      </c>
      <c r="E137" s="53">
        <v>15000</v>
      </c>
      <c r="F137" s="53">
        <v>18000</v>
      </c>
    </row>
    <row r="138" spans="1:6" x14ac:dyDescent="0.25">
      <c r="A138" s="1">
        <v>4872</v>
      </c>
      <c r="B138" t="s">
        <v>332</v>
      </c>
      <c r="C138" t="s">
        <v>299</v>
      </c>
      <c r="D138" t="s">
        <v>214</v>
      </c>
      <c r="E138" s="53">
        <v>8000</v>
      </c>
      <c r="F138" s="53">
        <v>10000</v>
      </c>
    </row>
    <row r="139" spans="1:6" x14ac:dyDescent="0.25">
      <c r="A139" s="1">
        <v>1588</v>
      </c>
      <c r="B139" t="s">
        <v>333</v>
      </c>
      <c r="C139" t="s">
        <v>299</v>
      </c>
      <c r="D139" t="s">
        <v>214</v>
      </c>
      <c r="E139" s="53">
        <v>9000</v>
      </c>
      <c r="F139" s="53">
        <v>11000</v>
      </c>
    </row>
    <row r="140" spans="1:6" x14ac:dyDescent="0.25">
      <c r="A140" s="1">
        <v>7779</v>
      </c>
      <c r="B140" t="s">
        <v>334</v>
      </c>
      <c r="C140" t="s">
        <v>299</v>
      </c>
      <c r="D140" t="s">
        <v>214</v>
      </c>
      <c r="E140" s="53">
        <v>9500</v>
      </c>
      <c r="F140" s="53">
        <v>12000</v>
      </c>
    </row>
    <row r="141" spans="1:6" x14ac:dyDescent="0.25">
      <c r="A141" s="1">
        <v>1085</v>
      </c>
      <c r="B141" t="s">
        <v>335</v>
      </c>
      <c r="C141" t="s">
        <v>299</v>
      </c>
      <c r="D141" t="s">
        <v>214</v>
      </c>
      <c r="E141" s="53">
        <v>10000</v>
      </c>
      <c r="F141" s="53">
        <v>13000</v>
      </c>
    </row>
    <row r="142" spans="1:6" x14ac:dyDescent="0.25">
      <c r="A142" s="1">
        <v>2555</v>
      </c>
      <c r="B142" t="s">
        <v>336</v>
      </c>
      <c r="C142" t="s">
        <v>299</v>
      </c>
      <c r="D142" t="s">
        <v>214</v>
      </c>
      <c r="E142" s="53">
        <v>10500</v>
      </c>
      <c r="F142" s="53">
        <v>13500</v>
      </c>
    </row>
    <row r="143" spans="1:6" x14ac:dyDescent="0.25">
      <c r="A143" s="1">
        <v>1373</v>
      </c>
      <c r="B143" t="s">
        <v>337</v>
      </c>
      <c r="C143" t="s">
        <v>299</v>
      </c>
      <c r="D143" t="s">
        <v>214</v>
      </c>
      <c r="E143" s="53">
        <v>15000</v>
      </c>
      <c r="F143" s="53">
        <v>18000</v>
      </c>
    </row>
    <row r="144" spans="1:6" x14ac:dyDescent="0.25">
      <c r="A144" s="1">
        <v>6028</v>
      </c>
      <c r="B144" t="s">
        <v>338</v>
      </c>
      <c r="C144" t="s">
        <v>299</v>
      </c>
      <c r="D144" t="s">
        <v>214</v>
      </c>
      <c r="E144" s="53">
        <v>11000</v>
      </c>
      <c r="F144" s="53">
        <v>14000</v>
      </c>
    </row>
    <row r="145" spans="1:6" x14ac:dyDescent="0.25">
      <c r="A145" s="1">
        <v>7966</v>
      </c>
      <c r="B145" t="s">
        <v>339</v>
      </c>
      <c r="C145" t="s">
        <v>299</v>
      </c>
      <c r="D145" t="s">
        <v>214</v>
      </c>
      <c r="E145" s="53">
        <v>12000</v>
      </c>
      <c r="F145" s="53">
        <v>15000</v>
      </c>
    </row>
    <row r="146" spans="1:6" x14ac:dyDescent="0.25">
      <c r="A146" s="1">
        <v>2251</v>
      </c>
      <c r="B146" t="s">
        <v>340</v>
      </c>
      <c r="C146" t="s">
        <v>299</v>
      </c>
      <c r="D146" t="s">
        <v>214</v>
      </c>
      <c r="E146" s="53">
        <v>10000</v>
      </c>
      <c r="F146" s="53">
        <v>13000</v>
      </c>
    </row>
    <row r="147" spans="1:6" x14ac:dyDescent="0.25">
      <c r="A147" s="1">
        <v>7914</v>
      </c>
      <c r="B147" t="s">
        <v>341</v>
      </c>
      <c r="C147" t="s">
        <v>299</v>
      </c>
      <c r="D147" t="s">
        <v>215</v>
      </c>
      <c r="E147" s="53">
        <v>40000</v>
      </c>
      <c r="F147" s="53">
        <v>50000</v>
      </c>
    </row>
    <row r="148" spans="1:6" x14ac:dyDescent="0.25">
      <c r="A148" s="1">
        <v>2358</v>
      </c>
      <c r="B148" t="s">
        <v>342</v>
      </c>
      <c r="C148" t="s">
        <v>299</v>
      </c>
      <c r="D148" t="s">
        <v>215</v>
      </c>
      <c r="E148" s="53">
        <v>50000</v>
      </c>
      <c r="F148" s="53">
        <v>60000</v>
      </c>
    </row>
    <row r="149" spans="1:6" x14ac:dyDescent="0.25">
      <c r="A149" s="1">
        <v>7641</v>
      </c>
      <c r="B149" t="s">
        <v>343</v>
      </c>
      <c r="C149" t="s">
        <v>299</v>
      </c>
      <c r="D149" t="s">
        <v>215</v>
      </c>
      <c r="E149" s="53">
        <v>60000</v>
      </c>
      <c r="F149" s="53">
        <v>75000</v>
      </c>
    </row>
    <row r="150" spans="1:6" x14ac:dyDescent="0.25">
      <c r="A150" s="1">
        <v>9953</v>
      </c>
      <c r="B150" t="s">
        <v>344</v>
      </c>
      <c r="C150" t="s">
        <v>299</v>
      </c>
      <c r="D150" t="s">
        <v>215</v>
      </c>
      <c r="E150" s="53">
        <v>55000</v>
      </c>
      <c r="F150" s="53">
        <v>70000</v>
      </c>
    </row>
    <row r="151" spans="1:6" x14ac:dyDescent="0.25">
      <c r="A151" s="1">
        <v>2347</v>
      </c>
      <c r="B151" s="3" t="s">
        <v>345</v>
      </c>
      <c r="C151" t="s">
        <v>299</v>
      </c>
      <c r="D151" t="s">
        <v>215</v>
      </c>
      <c r="E151" s="53">
        <v>50000</v>
      </c>
      <c r="F151" s="53">
        <v>65000</v>
      </c>
    </row>
    <row r="152" spans="1:6" x14ac:dyDescent="0.25">
      <c r="A152" s="1">
        <v>7380</v>
      </c>
      <c r="B152" t="s">
        <v>346</v>
      </c>
      <c r="C152" t="s">
        <v>299</v>
      </c>
      <c r="D152" t="s">
        <v>215</v>
      </c>
      <c r="E152" s="53">
        <v>65000</v>
      </c>
      <c r="F152" s="53">
        <v>80000</v>
      </c>
    </row>
    <row r="153" spans="1:6" x14ac:dyDescent="0.25">
      <c r="A153" s="1">
        <v>7386</v>
      </c>
      <c r="B153" t="s">
        <v>347</v>
      </c>
      <c r="C153" t="s">
        <v>299</v>
      </c>
      <c r="D153" t="s">
        <v>215</v>
      </c>
      <c r="E153" s="53">
        <v>45000</v>
      </c>
      <c r="F153" s="53">
        <v>55000</v>
      </c>
    </row>
    <row r="154" spans="1:6" x14ac:dyDescent="0.25">
      <c r="A154" s="1">
        <v>2408</v>
      </c>
      <c r="B154" t="s">
        <v>348</v>
      </c>
      <c r="C154" t="s">
        <v>299</v>
      </c>
      <c r="D154" t="s">
        <v>215</v>
      </c>
      <c r="E154" s="53">
        <v>35000</v>
      </c>
      <c r="F154" s="53">
        <v>45000</v>
      </c>
    </row>
    <row r="155" spans="1:6" x14ac:dyDescent="0.25">
      <c r="A155" s="1">
        <v>8632</v>
      </c>
      <c r="B155" t="s">
        <v>349</v>
      </c>
      <c r="C155" t="s">
        <v>299</v>
      </c>
      <c r="D155" t="s">
        <v>215</v>
      </c>
      <c r="E155" s="53">
        <v>40000</v>
      </c>
      <c r="F155" s="53">
        <v>50000</v>
      </c>
    </row>
    <row r="156" spans="1:6" x14ac:dyDescent="0.25">
      <c r="A156" s="1">
        <v>7660</v>
      </c>
      <c r="B156" t="s">
        <v>350</v>
      </c>
      <c r="C156" t="s">
        <v>299</v>
      </c>
      <c r="D156" t="s">
        <v>216</v>
      </c>
      <c r="E156" s="53">
        <v>8000</v>
      </c>
      <c r="F156" s="53">
        <v>10000</v>
      </c>
    </row>
    <row r="157" spans="1:6" x14ac:dyDescent="0.25">
      <c r="A157" s="1">
        <v>9186</v>
      </c>
      <c r="B157" t="s">
        <v>351</v>
      </c>
      <c r="C157" t="s">
        <v>299</v>
      </c>
      <c r="D157" t="s">
        <v>216</v>
      </c>
      <c r="E157" s="53">
        <v>9000</v>
      </c>
      <c r="F157" s="53">
        <v>11000</v>
      </c>
    </row>
    <row r="158" spans="1:6" x14ac:dyDescent="0.25">
      <c r="A158" s="1">
        <v>2187</v>
      </c>
      <c r="B158" t="s">
        <v>352</v>
      </c>
      <c r="C158" t="s">
        <v>299</v>
      </c>
      <c r="D158" t="s">
        <v>216</v>
      </c>
      <c r="E158" s="53">
        <v>10000</v>
      </c>
      <c r="F158" s="53">
        <v>12000</v>
      </c>
    </row>
    <row r="159" spans="1:6" x14ac:dyDescent="0.25">
      <c r="A159" s="1">
        <v>7502</v>
      </c>
      <c r="B159" t="s">
        <v>353</v>
      </c>
      <c r="C159" t="s">
        <v>299</v>
      </c>
      <c r="D159" t="s">
        <v>216</v>
      </c>
      <c r="E159" s="53">
        <v>10500</v>
      </c>
      <c r="F159" s="53">
        <v>13000</v>
      </c>
    </row>
    <row r="160" spans="1:6" x14ac:dyDescent="0.25">
      <c r="A160" s="1">
        <v>3299</v>
      </c>
      <c r="B160" t="s">
        <v>354</v>
      </c>
      <c r="C160" t="s">
        <v>299</v>
      </c>
      <c r="D160" t="s">
        <v>216</v>
      </c>
      <c r="E160" s="53">
        <v>11000</v>
      </c>
      <c r="F160" s="53">
        <v>14000</v>
      </c>
    </row>
    <row r="161" spans="1:6" x14ac:dyDescent="0.25">
      <c r="A161" s="1">
        <v>6297</v>
      </c>
      <c r="B161" t="s">
        <v>355</v>
      </c>
      <c r="C161" t="s">
        <v>299</v>
      </c>
      <c r="D161" t="s">
        <v>216</v>
      </c>
      <c r="E161" s="53">
        <v>12000</v>
      </c>
      <c r="F161" s="53">
        <v>15000</v>
      </c>
    </row>
    <row r="162" spans="1:6" x14ac:dyDescent="0.25">
      <c r="A162" s="1">
        <v>9932</v>
      </c>
      <c r="B162" t="s">
        <v>356</v>
      </c>
      <c r="C162" t="s">
        <v>299</v>
      </c>
      <c r="D162" t="s">
        <v>216</v>
      </c>
      <c r="E162" s="53">
        <v>13000</v>
      </c>
      <c r="F162" s="53">
        <v>16000</v>
      </c>
    </row>
    <row r="163" spans="1:6" x14ac:dyDescent="0.25">
      <c r="A163" s="1">
        <v>8717</v>
      </c>
      <c r="B163" t="s">
        <v>357</v>
      </c>
      <c r="C163" t="s">
        <v>299</v>
      </c>
      <c r="D163" t="s">
        <v>216</v>
      </c>
      <c r="E163" s="53">
        <v>9500</v>
      </c>
      <c r="F163" s="53">
        <v>12000</v>
      </c>
    </row>
    <row r="164" spans="1:6" x14ac:dyDescent="0.25">
      <c r="A164" s="1">
        <v>7796</v>
      </c>
      <c r="B164" t="s">
        <v>358</v>
      </c>
      <c r="C164" t="s">
        <v>299</v>
      </c>
      <c r="D164" t="s">
        <v>216</v>
      </c>
      <c r="E164" s="53">
        <v>10000</v>
      </c>
      <c r="F164" s="53">
        <v>12500</v>
      </c>
    </row>
    <row r="165" spans="1:6" x14ac:dyDescent="0.25">
      <c r="A165" s="1">
        <v>3294</v>
      </c>
      <c r="B165" t="s">
        <v>359</v>
      </c>
      <c r="C165" t="s">
        <v>299</v>
      </c>
      <c r="D165" t="s">
        <v>217</v>
      </c>
      <c r="E165" s="53">
        <v>20000</v>
      </c>
      <c r="F165" s="53">
        <v>25000</v>
      </c>
    </row>
    <row r="166" spans="1:6" x14ac:dyDescent="0.25">
      <c r="A166" s="1">
        <v>2292</v>
      </c>
      <c r="B166" t="s">
        <v>360</v>
      </c>
      <c r="C166" t="s">
        <v>299</v>
      </c>
      <c r="D166" t="s">
        <v>217</v>
      </c>
      <c r="E166" s="53">
        <v>22000</v>
      </c>
      <c r="F166" s="53">
        <v>27000</v>
      </c>
    </row>
    <row r="167" spans="1:6" x14ac:dyDescent="0.25">
      <c r="A167" s="1">
        <v>9637</v>
      </c>
      <c r="B167" t="s">
        <v>361</v>
      </c>
      <c r="C167" t="s">
        <v>299</v>
      </c>
      <c r="D167" t="s">
        <v>217</v>
      </c>
      <c r="E167" s="53">
        <v>23000</v>
      </c>
      <c r="F167" s="53">
        <v>28000</v>
      </c>
    </row>
    <row r="168" spans="1:6" x14ac:dyDescent="0.25">
      <c r="A168" s="1">
        <v>8912</v>
      </c>
      <c r="B168" t="s">
        <v>362</v>
      </c>
      <c r="C168" t="s">
        <v>299</v>
      </c>
      <c r="D168" t="s">
        <v>217</v>
      </c>
      <c r="E168" s="53">
        <v>24000</v>
      </c>
      <c r="F168" s="53">
        <v>29000</v>
      </c>
    </row>
    <row r="169" spans="1:6" x14ac:dyDescent="0.25">
      <c r="A169" s="1">
        <v>5823</v>
      </c>
      <c r="B169" t="s">
        <v>363</v>
      </c>
      <c r="C169" t="s">
        <v>299</v>
      </c>
      <c r="D169" t="s">
        <v>217</v>
      </c>
      <c r="E169" s="53">
        <v>25000</v>
      </c>
      <c r="F169" s="53">
        <v>30000</v>
      </c>
    </row>
    <row r="170" spans="1:6" x14ac:dyDescent="0.25">
      <c r="A170" s="1">
        <v>4142</v>
      </c>
      <c r="B170" t="s">
        <v>364</v>
      </c>
      <c r="C170" t="s">
        <v>299</v>
      </c>
      <c r="D170" t="s">
        <v>217</v>
      </c>
      <c r="E170" s="53">
        <v>26000</v>
      </c>
      <c r="F170" s="53">
        <v>32000</v>
      </c>
    </row>
    <row r="171" spans="1:6" x14ac:dyDescent="0.25">
      <c r="A171" s="1">
        <v>5590</v>
      </c>
      <c r="B171" t="s">
        <v>365</v>
      </c>
      <c r="C171" t="s">
        <v>299</v>
      </c>
      <c r="D171" t="s">
        <v>217</v>
      </c>
      <c r="E171" s="53">
        <v>28000</v>
      </c>
      <c r="F171" s="53">
        <v>35000</v>
      </c>
    </row>
    <row r="172" spans="1:6" x14ac:dyDescent="0.25">
      <c r="A172" s="1">
        <v>1847</v>
      </c>
      <c r="B172" t="s">
        <v>366</v>
      </c>
      <c r="C172" t="s">
        <v>299</v>
      </c>
      <c r="D172" t="s">
        <v>217</v>
      </c>
      <c r="E172" s="53">
        <v>23500</v>
      </c>
      <c r="F172" s="53">
        <v>29500</v>
      </c>
    </row>
    <row r="173" spans="1:6" x14ac:dyDescent="0.25">
      <c r="A173" s="1">
        <v>5066</v>
      </c>
      <c r="B173" t="s">
        <v>367</v>
      </c>
      <c r="C173" t="s">
        <v>299</v>
      </c>
      <c r="D173" t="s">
        <v>217</v>
      </c>
      <c r="E173" s="53">
        <v>24000</v>
      </c>
      <c r="F173" s="53">
        <v>30000</v>
      </c>
    </row>
    <row r="174" spans="1:6" x14ac:dyDescent="0.25">
      <c r="A174" s="1">
        <v>7085</v>
      </c>
      <c r="B174" t="s">
        <v>368</v>
      </c>
      <c r="C174" t="s">
        <v>299</v>
      </c>
      <c r="D174" t="s">
        <v>218</v>
      </c>
      <c r="E174" s="53">
        <v>15000</v>
      </c>
      <c r="F174" s="53">
        <v>20000</v>
      </c>
    </row>
    <row r="175" spans="1:6" x14ac:dyDescent="0.25">
      <c r="A175" s="1">
        <v>9582</v>
      </c>
      <c r="B175" t="s">
        <v>369</v>
      </c>
      <c r="C175" t="s">
        <v>299</v>
      </c>
      <c r="D175" t="s">
        <v>218</v>
      </c>
      <c r="E175" s="53">
        <v>16000</v>
      </c>
      <c r="F175" s="53">
        <v>21000</v>
      </c>
    </row>
    <row r="176" spans="1:6" x14ac:dyDescent="0.25">
      <c r="A176" s="1">
        <v>8167</v>
      </c>
      <c r="B176" t="s">
        <v>370</v>
      </c>
      <c r="C176" t="s">
        <v>299</v>
      </c>
      <c r="D176" t="s">
        <v>218</v>
      </c>
      <c r="E176" s="53">
        <v>17000</v>
      </c>
      <c r="F176" s="53">
        <v>22000</v>
      </c>
    </row>
    <row r="177" spans="1:6" x14ac:dyDescent="0.25">
      <c r="A177" s="1">
        <v>5772</v>
      </c>
      <c r="B177" t="s">
        <v>371</v>
      </c>
      <c r="C177" t="s">
        <v>299</v>
      </c>
      <c r="D177" t="s">
        <v>218</v>
      </c>
      <c r="E177" s="53">
        <v>18000</v>
      </c>
      <c r="F177" s="53">
        <v>23000</v>
      </c>
    </row>
    <row r="178" spans="1:6" x14ac:dyDescent="0.25">
      <c r="A178" s="1">
        <v>5874</v>
      </c>
      <c r="B178" t="s">
        <v>372</v>
      </c>
      <c r="C178" t="s">
        <v>299</v>
      </c>
      <c r="D178" t="s">
        <v>218</v>
      </c>
      <c r="E178" s="53">
        <v>19000</v>
      </c>
      <c r="F178" s="53">
        <v>24000</v>
      </c>
    </row>
    <row r="179" spans="1:6" x14ac:dyDescent="0.25">
      <c r="A179" s="1">
        <v>4826</v>
      </c>
      <c r="B179" t="s">
        <v>373</v>
      </c>
      <c r="C179" t="s">
        <v>299</v>
      </c>
      <c r="D179" t="s">
        <v>218</v>
      </c>
      <c r="E179" s="53">
        <v>20000</v>
      </c>
      <c r="F179" s="53">
        <v>25000</v>
      </c>
    </row>
    <row r="180" spans="1:6" x14ac:dyDescent="0.25">
      <c r="A180" s="1">
        <v>1581</v>
      </c>
      <c r="B180" t="s">
        <v>374</v>
      </c>
      <c r="C180" t="s">
        <v>299</v>
      </c>
      <c r="D180" t="s">
        <v>218</v>
      </c>
      <c r="E180" s="53">
        <v>21000</v>
      </c>
      <c r="F180" s="53">
        <v>26000</v>
      </c>
    </row>
    <row r="181" spans="1:6" x14ac:dyDescent="0.25">
      <c r="A181" s="1">
        <v>8426</v>
      </c>
      <c r="B181" t="s">
        <v>375</v>
      </c>
      <c r="C181" t="s">
        <v>299</v>
      </c>
      <c r="D181" t="s">
        <v>218</v>
      </c>
      <c r="E181" s="53">
        <v>22000</v>
      </c>
      <c r="F181" s="53">
        <v>27000</v>
      </c>
    </row>
    <row r="182" spans="1:6" x14ac:dyDescent="0.25">
      <c r="A182" s="1">
        <v>3330</v>
      </c>
      <c r="B182" t="s">
        <v>376</v>
      </c>
      <c r="C182" t="s">
        <v>299</v>
      </c>
      <c r="D182" t="s">
        <v>218</v>
      </c>
      <c r="E182" s="53">
        <v>23000</v>
      </c>
      <c r="F182" s="53">
        <v>28000</v>
      </c>
    </row>
    <row r="183" spans="1:6" x14ac:dyDescent="0.25">
      <c r="A183" s="1">
        <v>1440</v>
      </c>
      <c r="B183" t="s">
        <v>377</v>
      </c>
      <c r="C183" t="s">
        <v>299</v>
      </c>
      <c r="D183" t="s">
        <v>219</v>
      </c>
      <c r="E183" s="53">
        <v>35000</v>
      </c>
      <c r="F183" s="53">
        <v>45000</v>
      </c>
    </row>
    <row r="184" spans="1:6" x14ac:dyDescent="0.25">
      <c r="A184" s="1">
        <v>1464</v>
      </c>
      <c r="B184" t="s">
        <v>378</v>
      </c>
      <c r="C184" t="s">
        <v>299</v>
      </c>
      <c r="D184" t="s">
        <v>219</v>
      </c>
      <c r="E184" s="53">
        <v>36000</v>
      </c>
      <c r="F184" s="53">
        <v>46000</v>
      </c>
    </row>
    <row r="185" spans="1:6" x14ac:dyDescent="0.25">
      <c r="A185" s="1">
        <v>3120</v>
      </c>
      <c r="B185" t="s">
        <v>379</v>
      </c>
      <c r="C185" t="s">
        <v>299</v>
      </c>
      <c r="D185" t="s">
        <v>219</v>
      </c>
      <c r="E185" s="53">
        <v>38000</v>
      </c>
      <c r="F185" s="53">
        <v>48000</v>
      </c>
    </row>
    <row r="186" spans="1:6" x14ac:dyDescent="0.25">
      <c r="A186" s="1">
        <v>4073</v>
      </c>
      <c r="B186" t="s">
        <v>380</v>
      </c>
      <c r="C186" t="s">
        <v>299</v>
      </c>
      <c r="D186" t="s">
        <v>219</v>
      </c>
      <c r="E186" s="53">
        <v>40000</v>
      </c>
      <c r="F186" s="53">
        <v>50000</v>
      </c>
    </row>
    <row r="187" spans="1:6" x14ac:dyDescent="0.25">
      <c r="A187" s="1">
        <v>6660</v>
      </c>
      <c r="B187" t="s">
        <v>381</v>
      </c>
      <c r="C187" t="s">
        <v>299</v>
      </c>
      <c r="D187" t="s">
        <v>219</v>
      </c>
      <c r="E187" s="53">
        <v>45000</v>
      </c>
      <c r="F187" s="53">
        <v>55000</v>
      </c>
    </row>
    <row r="188" spans="1:6" x14ac:dyDescent="0.25">
      <c r="A188" s="1">
        <v>7646</v>
      </c>
      <c r="B188" t="s">
        <v>382</v>
      </c>
      <c r="C188" t="s">
        <v>299</v>
      </c>
      <c r="D188" t="s">
        <v>219</v>
      </c>
      <c r="E188" s="53">
        <v>42000</v>
      </c>
      <c r="F188" s="53">
        <v>52000</v>
      </c>
    </row>
    <row r="189" spans="1:6" x14ac:dyDescent="0.25">
      <c r="A189" s="1">
        <v>6526</v>
      </c>
      <c r="B189" t="s">
        <v>383</v>
      </c>
      <c r="C189" t="s">
        <v>299</v>
      </c>
      <c r="D189" t="s">
        <v>219</v>
      </c>
      <c r="E189" s="53">
        <v>43000</v>
      </c>
      <c r="F189" s="53">
        <v>53000</v>
      </c>
    </row>
    <row r="190" spans="1:6" x14ac:dyDescent="0.25">
      <c r="A190" s="1">
        <v>4647</v>
      </c>
      <c r="B190" t="s">
        <v>384</v>
      </c>
      <c r="C190" t="s">
        <v>299</v>
      </c>
      <c r="D190" t="s">
        <v>219</v>
      </c>
      <c r="E190" s="53">
        <v>44000</v>
      </c>
      <c r="F190" s="53">
        <v>54000</v>
      </c>
    </row>
    <row r="191" spans="1:6" x14ac:dyDescent="0.25">
      <c r="A191" s="1">
        <v>4698</v>
      </c>
      <c r="B191" t="s">
        <v>385</v>
      </c>
      <c r="C191" t="s">
        <v>299</v>
      </c>
      <c r="D191" t="s">
        <v>219</v>
      </c>
      <c r="E191" s="53">
        <v>46000</v>
      </c>
      <c r="F191" s="53">
        <v>56000</v>
      </c>
    </row>
    <row r="192" spans="1:6" x14ac:dyDescent="0.25">
      <c r="A192" s="1">
        <v>5159</v>
      </c>
      <c r="B192" t="s">
        <v>386</v>
      </c>
      <c r="C192" t="s">
        <v>299</v>
      </c>
      <c r="D192" t="s">
        <v>220</v>
      </c>
      <c r="E192" s="53">
        <v>20000</v>
      </c>
      <c r="F192" s="53">
        <v>25000</v>
      </c>
    </row>
    <row r="193" spans="1:6" x14ac:dyDescent="0.25">
      <c r="A193" s="1">
        <v>5531</v>
      </c>
      <c r="B193" t="s">
        <v>387</v>
      </c>
      <c r="C193" t="s">
        <v>299</v>
      </c>
      <c r="D193" t="s">
        <v>220</v>
      </c>
      <c r="E193" s="53">
        <v>22000</v>
      </c>
      <c r="F193" s="53">
        <v>27000</v>
      </c>
    </row>
    <row r="194" spans="1:6" x14ac:dyDescent="0.25">
      <c r="A194" s="1">
        <v>9617</v>
      </c>
      <c r="B194" t="s">
        <v>388</v>
      </c>
      <c r="C194" t="s">
        <v>299</v>
      </c>
      <c r="D194" t="s">
        <v>220</v>
      </c>
      <c r="E194" s="53">
        <v>23000</v>
      </c>
      <c r="F194" s="53">
        <v>28000</v>
      </c>
    </row>
    <row r="195" spans="1:6" x14ac:dyDescent="0.25">
      <c r="A195" s="1">
        <v>3693</v>
      </c>
      <c r="B195" t="s">
        <v>389</v>
      </c>
      <c r="C195" t="s">
        <v>299</v>
      </c>
      <c r="D195" t="s">
        <v>220</v>
      </c>
      <c r="E195" s="53">
        <v>24000</v>
      </c>
      <c r="F195" s="53">
        <v>29000</v>
      </c>
    </row>
    <row r="196" spans="1:6" x14ac:dyDescent="0.25">
      <c r="A196" s="1">
        <v>1632</v>
      </c>
      <c r="B196" t="s">
        <v>390</v>
      </c>
      <c r="C196" t="s">
        <v>299</v>
      </c>
      <c r="D196" t="s">
        <v>220</v>
      </c>
      <c r="E196" s="53">
        <v>25000</v>
      </c>
      <c r="F196" s="53">
        <v>30000</v>
      </c>
    </row>
    <row r="197" spans="1:6" x14ac:dyDescent="0.25">
      <c r="A197" s="1">
        <v>4427</v>
      </c>
      <c r="B197" t="s">
        <v>391</v>
      </c>
      <c r="C197" t="s">
        <v>299</v>
      </c>
      <c r="D197" t="s">
        <v>220</v>
      </c>
      <c r="E197" s="53">
        <v>26000</v>
      </c>
      <c r="F197" s="53">
        <v>32000</v>
      </c>
    </row>
    <row r="198" spans="1:6" x14ac:dyDescent="0.25">
      <c r="A198" s="1">
        <v>8829</v>
      </c>
      <c r="B198" t="s">
        <v>392</v>
      </c>
      <c r="C198" t="s">
        <v>299</v>
      </c>
      <c r="D198" t="s">
        <v>220</v>
      </c>
      <c r="E198" s="53">
        <v>28000</v>
      </c>
      <c r="F198" s="53">
        <v>35000</v>
      </c>
    </row>
    <row r="199" spans="1:6" x14ac:dyDescent="0.25">
      <c r="A199" s="1">
        <v>4809</v>
      </c>
      <c r="B199" t="s">
        <v>393</v>
      </c>
      <c r="C199" t="s">
        <v>299</v>
      </c>
      <c r="D199" t="s">
        <v>220</v>
      </c>
      <c r="E199" s="53">
        <v>23500</v>
      </c>
      <c r="F199" s="53">
        <v>29500</v>
      </c>
    </row>
    <row r="200" spans="1:6" x14ac:dyDescent="0.25">
      <c r="A200" s="1">
        <v>1283</v>
      </c>
      <c r="B200" t="s">
        <v>394</v>
      </c>
      <c r="C200" t="s">
        <v>299</v>
      </c>
      <c r="D200" t="s">
        <v>220</v>
      </c>
      <c r="E200" s="53">
        <v>24000</v>
      </c>
      <c r="F200" s="53">
        <v>30000</v>
      </c>
    </row>
    <row r="201" spans="1:6" x14ac:dyDescent="0.25">
      <c r="A201" s="1">
        <v>3585</v>
      </c>
      <c r="B201" t="s">
        <v>395</v>
      </c>
      <c r="C201" t="s">
        <v>299</v>
      </c>
      <c r="D201" t="s">
        <v>221</v>
      </c>
      <c r="E201" s="53">
        <v>35000</v>
      </c>
      <c r="F201" s="53">
        <v>45000</v>
      </c>
    </row>
    <row r="202" spans="1:6" x14ac:dyDescent="0.25">
      <c r="A202" s="1">
        <v>1747</v>
      </c>
      <c r="B202" t="s">
        <v>396</v>
      </c>
      <c r="C202" t="s">
        <v>299</v>
      </c>
      <c r="D202" t="s">
        <v>221</v>
      </c>
      <c r="E202" s="53">
        <v>30000</v>
      </c>
      <c r="F202" s="53">
        <v>40000</v>
      </c>
    </row>
    <row r="203" spans="1:6" x14ac:dyDescent="0.25">
      <c r="A203" s="1">
        <v>8262</v>
      </c>
      <c r="B203" t="s">
        <v>397</v>
      </c>
      <c r="C203" t="s">
        <v>299</v>
      </c>
      <c r="D203" t="s">
        <v>221</v>
      </c>
      <c r="E203" s="53">
        <v>32000</v>
      </c>
      <c r="F203" s="53">
        <v>42000</v>
      </c>
    </row>
    <row r="204" spans="1:6" x14ac:dyDescent="0.25">
      <c r="A204" s="1">
        <v>3217</v>
      </c>
      <c r="B204" t="s">
        <v>398</v>
      </c>
      <c r="C204" t="s">
        <v>299</v>
      </c>
      <c r="D204" t="s">
        <v>221</v>
      </c>
      <c r="E204" s="53">
        <v>33000</v>
      </c>
      <c r="F204" s="53">
        <v>43000</v>
      </c>
    </row>
    <row r="205" spans="1:6" x14ac:dyDescent="0.25">
      <c r="A205" s="1">
        <v>3788</v>
      </c>
      <c r="B205" t="s">
        <v>399</v>
      </c>
      <c r="C205" t="s">
        <v>299</v>
      </c>
      <c r="D205" t="s">
        <v>221</v>
      </c>
      <c r="E205" s="53">
        <v>38000</v>
      </c>
      <c r="F205" s="53">
        <v>48000</v>
      </c>
    </row>
    <row r="206" spans="1:6" x14ac:dyDescent="0.25">
      <c r="A206" s="1">
        <v>5774</v>
      </c>
      <c r="B206" t="s">
        <v>400</v>
      </c>
      <c r="C206" t="s">
        <v>299</v>
      </c>
      <c r="D206" t="s">
        <v>221</v>
      </c>
      <c r="E206" s="53">
        <v>36000</v>
      </c>
      <c r="F206" s="53">
        <v>46000</v>
      </c>
    </row>
    <row r="207" spans="1:6" x14ac:dyDescent="0.25">
      <c r="A207" s="1">
        <v>2509</v>
      </c>
      <c r="B207" t="s">
        <v>401</v>
      </c>
      <c r="C207" t="s">
        <v>299</v>
      </c>
      <c r="D207" t="s">
        <v>221</v>
      </c>
      <c r="E207" s="53">
        <v>37000</v>
      </c>
      <c r="F207" s="53">
        <v>47000</v>
      </c>
    </row>
    <row r="208" spans="1:6" x14ac:dyDescent="0.25">
      <c r="A208" s="1">
        <v>8516</v>
      </c>
      <c r="B208" t="s">
        <v>402</v>
      </c>
      <c r="C208" t="s">
        <v>299</v>
      </c>
      <c r="D208" t="s">
        <v>221</v>
      </c>
      <c r="E208" s="53">
        <v>39000</v>
      </c>
      <c r="F208" s="53">
        <v>49000</v>
      </c>
    </row>
    <row r="209" spans="1:6" x14ac:dyDescent="0.25">
      <c r="A209" s="1">
        <v>6510</v>
      </c>
      <c r="B209" t="s">
        <v>403</v>
      </c>
      <c r="C209" t="s">
        <v>299</v>
      </c>
      <c r="D209" t="s">
        <v>221</v>
      </c>
      <c r="E209" s="53">
        <v>40000</v>
      </c>
      <c r="F209" s="53">
        <v>50000</v>
      </c>
    </row>
    <row r="210" spans="1:6" x14ac:dyDescent="0.25">
      <c r="A210" s="1">
        <v>5563</v>
      </c>
      <c r="B210" t="s">
        <v>404</v>
      </c>
      <c r="C210" t="s">
        <v>299</v>
      </c>
      <c r="D210" t="s">
        <v>222</v>
      </c>
      <c r="E210" s="53">
        <v>22000</v>
      </c>
      <c r="F210" s="53">
        <v>28000</v>
      </c>
    </row>
    <row r="211" spans="1:6" x14ac:dyDescent="0.25">
      <c r="A211" s="1">
        <v>4874</v>
      </c>
      <c r="B211" t="s">
        <v>405</v>
      </c>
      <c r="C211" t="s">
        <v>299</v>
      </c>
      <c r="D211" t="s">
        <v>222</v>
      </c>
      <c r="E211" s="53">
        <v>24000</v>
      </c>
      <c r="F211" s="53">
        <v>30000</v>
      </c>
    </row>
    <row r="212" spans="1:6" x14ac:dyDescent="0.25">
      <c r="A212" s="1">
        <v>4601</v>
      </c>
      <c r="B212" t="s">
        <v>406</v>
      </c>
      <c r="C212" t="s">
        <v>299</v>
      </c>
      <c r="D212" t="s">
        <v>222</v>
      </c>
      <c r="E212" s="53">
        <v>25000</v>
      </c>
      <c r="F212" s="53">
        <v>32000</v>
      </c>
    </row>
    <row r="213" spans="1:6" x14ac:dyDescent="0.25">
      <c r="A213" s="1">
        <v>3175</v>
      </c>
      <c r="B213" t="s">
        <v>407</v>
      </c>
      <c r="C213" t="s">
        <v>299</v>
      </c>
      <c r="D213" t="s">
        <v>222</v>
      </c>
      <c r="E213" s="53">
        <v>26000</v>
      </c>
      <c r="F213" s="53">
        <v>33000</v>
      </c>
    </row>
    <row r="214" spans="1:6" x14ac:dyDescent="0.25">
      <c r="A214" s="1">
        <v>4900</v>
      </c>
      <c r="B214" t="s">
        <v>408</v>
      </c>
      <c r="C214" t="s">
        <v>299</v>
      </c>
      <c r="D214" t="s">
        <v>222</v>
      </c>
      <c r="E214" s="53">
        <v>27000</v>
      </c>
      <c r="F214" s="53">
        <v>34000</v>
      </c>
    </row>
    <row r="215" spans="1:6" x14ac:dyDescent="0.25">
      <c r="A215" s="1">
        <v>1063</v>
      </c>
      <c r="B215" t="s">
        <v>409</v>
      </c>
      <c r="C215" t="s">
        <v>299</v>
      </c>
      <c r="D215" t="s">
        <v>222</v>
      </c>
      <c r="E215" s="53">
        <v>28000</v>
      </c>
      <c r="F215" s="53">
        <v>35000</v>
      </c>
    </row>
    <row r="216" spans="1:6" x14ac:dyDescent="0.25">
      <c r="A216" s="1">
        <v>7243</v>
      </c>
      <c r="B216" t="s">
        <v>410</v>
      </c>
      <c r="C216" t="s">
        <v>299</v>
      </c>
      <c r="D216" t="s">
        <v>222</v>
      </c>
      <c r="E216" s="53">
        <v>30000</v>
      </c>
      <c r="F216" s="53">
        <v>38000</v>
      </c>
    </row>
    <row r="217" spans="1:6" x14ac:dyDescent="0.25">
      <c r="A217" s="1">
        <v>8879</v>
      </c>
      <c r="B217" t="s">
        <v>411</v>
      </c>
      <c r="C217" t="s">
        <v>299</v>
      </c>
      <c r="D217" t="s">
        <v>222</v>
      </c>
      <c r="E217" s="53">
        <v>25500</v>
      </c>
      <c r="F217" s="53">
        <v>32500</v>
      </c>
    </row>
    <row r="218" spans="1:6" x14ac:dyDescent="0.25">
      <c r="A218" s="1">
        <v>2984</v>
      </c>
      <c r="B218" t="s">
        <v>412</v>
      </c>
      <c r="C218" t="s">
        <v>299</v>
      </c>
      <c r="D218" t="s">
        <v>222</v>
      </c>
      <c r="E218" s="53">
        <v>26000</v>
      </c>
      <c r="F218" s="53">
        <v>33500</v>
      </c>
    </row>
    <row r="219" spans="1:6" x14ac:dyDescent="0.25">
      <c r="A219" s="1">
        <v>5631</v>
      </c>
      <c r="B219" t="s">
        <v>413</v>
      </c>
      <c r="C219" t="s">
        <v>300</v>
      </c>
      <c r="D219" t="s">
        <v>223</v>
      </c>
      <c r="E219" s="53">
        <v>10200</v>
      </c>
      <c r="F219" s="53">
        <v>15200</v>
      </c>
    </row>
    <row r="220" spans="1:6" x14ac:dyDescent="0.25">
      <c r="A220" s="1">
        <v>5286</v>
      </c>
      <c r="B220" t="s">
        <v>414</v>
      </c>
      <c r="C220" t="s">
        <v>300</v>
      </c>
      <c r="D220" t="s">
        <v>223</v>
      </c>
      <c r="E220" s="53">
        <v>13000</v>
      </c>
      <c r="F220" s="53">
        <v>19000</v>
      </c>
    </row>
    <row r="221" spans="1:6" x14ac:dyDescent="0.25">
      <c r="A221" s="1">
        <v>4120</v>
      </c>
      <c r="B221" t="s">
        <v>415</v>
      </c>
      <c r="C221" t="s">
        <v>300</v>
      </c>
      <c r="D221" t="s">
        <v>223</v>
      </c>
      <c r="E221" s="53">
        <v>15000</v>
      </c>
      <c r="F221" s="53">
        <v>21000</v>
      </c>
    </row>
    <row r="222" spans="1:6" x14ac:dyDescent="0.25">
      <c r="A222" s="1">
        <v>8903</v>
      </c>
      <c r="B222" t="s">
        <v>416</v>
      </c>
      <c r="C222" t="s">
        <v>300</v>
      </c>
      <c r="D222" t="s">
        <v>223</v>
      </c>
      <c r="E222" s="53">
        <v>12500</v>
      </c>
      <c r="F222" s="53">
        <v>17500</v>
      </c>
    </row>
    <row r="223" spans="1:6" x14ac:dyDescent="0.25">
      <c r="A223" s="1">
        <v>4677</v>
      </c>
      <c r="B223" t="s">
        <v>417</v>
      </c>
      <c r="C223" t="s">
        <v>300</v>
      </c>
      <c r="D223" t="s">
        <v>223</v>
      </c>
      <c r="E223" s="53">
        <v>12000</v>
      </c>
      <c r="F223" s="53">
        <v>17000</v>
      </c>
    </row>
    <row r="224" spans="1:6" x14ac:dyDescent="0.25">
      <c r="A224" s="1">
        <v>8063</v>
      </c>
      <c r="B224" t="s">
        <v>418</v>
      </c>
      <c r="C224" t="s">
        <v>300</v>
      </c>
      <c r="D224" t="s">
        <v>223</v>
      </c>
      <c r="E224" s="53">
        <v>14000</v>
      </c>
      <c r="F224" s="53">
        <v>20000</v>
      </c>
    </row>
    <row r="225" spans="1:6" x14ac:dyDescent="0.25">
      <c r="A225" s="1">
        <v>6109</v>
      </c>
      <c r="B225" t="s">
        <v>419</v>
      </c>
      <c r="C225" t="s">
        <v>300</v>
      </c>
      <c r="D225" t="s">
        <v>223</v>
      </c>
      <c r="E225" s="53">
        <v>13500</v>
      </c>
      <c r="F225" s="53">
        <v>19500</v>
      </c>
    </row>
    <row r="226" spans="1:6" x14ac:dyDescent="0.25">
      <c r="A226" s="1">
        <v>1666</v>
      </c>
      <c r="B226" t="s">
        <v>420</v>
      </c>
      <c r="C226" t="s">
        <v>300</v>
      </c>
      <c r="D226" t="s">
        <v>223</v>
      </c>
      <c r="E226" s="53">
        <v>11000</v>
      </c>
      <c r="F226" s="53">
        <v>16000</v>
      </c>
    </row>
    <row r="227" spans="1:6" x14ac:dyDescent="0.25">
      <c r="A227" s="1">
        <v>5692</v>
      </c>
      <c r="B227" t="s">
        <v>421</v>
      </c>
      <c r="C227" t="s">
        <v>300</v>
      </c>
      <c r="D227" t="s">
        <v>223</v>
      </c>
      <c r="E227" s="53">
        <v>13000</v>
      </c>
      <c r="F227" s="53">
        <v>18000</v>
      </c>
    </row>
    <row r="228" spans="1:6" x14ac:dyDescent="0.25">
      <c r="A228" s="1">
        <v>8723</v>
      </c>
      <c r="B228" t="s">
        <v>422</v>
      </c>
      <c r="C228" t="s">
        <v>300</v>
      </c>
      <c r="D228" t="s">
        <v>224</v>
      </c>
      <c r="E228" s="53">
        <v>15000</v>
      </c>
      <c r="F228" s="53">
        <v>21000</v>
      </c>
    </row>
    <row r="229" spans="1:6" x14ac:dyDescent="0.25">
      <c r="A229" s="1">
        <v>9526</v>
      </c>
      <c r="B229" t="s">
        <v>423</v>
      </c>
      <c r="C229" t="s">
        <v>300</v>
      </c>
      <c r="D229" t="s">
        <v>224</v>
      </c>
      <c r="E229" s="53">
        <v>14500</v>
      </c>
      <c r="F229" s="53">
        <v>20500</v>
      </c>
    </row>
    <row r="230" spans="1:6" x14ac:dyDescent="0.25">
      <c r="A230" s="1">
        <v>1046</v>
      </c>
      <c r="B230" t="s">
        <v>424</v>
      </c>
      <c r="C230" t="s">
        <v>300</v>
      </c>
      <c r="D230" t="s">
        <v>224</v>
      </c>
      <c r="E230" s="53">
        <v>16000</v>
      </c>
      <c r="F230" s="53">
        <v>22000</v>
      </c>
    </row>
    <row r="231" spans="1:6" x14ac:dyDescent="0.25">
      <c r="A231" s="1">
        <v>7879</v>
      </c>
      <c r="B231" t="s">
        <v>425</v>
      </c>
      <c r="C231" t="s">
        <v>300</v>
      </c>
      <c r="D231" t="s">
        <v>224</v>
      </c>
      <c r="E231" s="53">
        <v>12500</v>
      </c>
      <c r="F231" s="53">
        <v>17500</v>
      </c>
    </row>
    <row r="232" spans="1:6" x14ac:dyDescent="0.25">
      <c r="A232" s="1">
        <v>6463</v>
      </c>
      <c r="B232" t="s">
        <v>426</v>
      </c>
      <c r="C232" t="s">
        <v>300</v>
      </c>
      <c r="D232" t="s">
        <v>224</v>
      </c>
      <c r="E232" s="53">
        <v>25000</v>
      </c>
      <c r="F232" s="53">
        <v>35000</v>
      </c>
    </row>
    <row r="233" spans="1:6" x14ac:dyDescent="0.25">
      <c r="A233" s="1">
        <v>4313</v>
      </c>
      <c r="B233" t="s">
        <v>427</v>
      </c>
      <c r="C233" t="s">
        <v>300</v>
      </c>
      <c r="D233" t="s">
        <v>224</v>
      </c>
      <c r="E233" s="53">
        <v>20000</v>
      </c>
      <c r="F233" s="53">
        <v>28000</v>
      </c>
    </row>
    <row r="234" spans="1:6" x14ac:dyDescent="0.25">
      <c r="A234" s="1">
        <v>9241</v>
      </c>
      <c r="B234" t="s">
        <v>428</v>
      </c>
      <c r="C234" t="s">
        <v>300</v>
      </c>
      <c r="D234" t="s">
        <v>224</v>
      </c>
      <c r="E234" s="53">
        <v>22000</v>
      </c>
      <c r="F234" s="53">
        <v>30000</v>
      </c>
    </row>
    <row r="235" spans="1:6" x14ac:dyDescent="0.25">
      <c r="A235" s="1">
        <v>1705</v>
      </c>
      <c r="B235" t="s">
        <v>429</v>
      </c>
      <c r="C235" t="s">
        <v>300</v>
      </c>
      <c r="D235" t="s">
        <v>224</v>
      </c>
      <c r="E235" s="53">
        <v>27000</v>
      </c>
      <c r="F235" s="53">
        <v>37000</v>
      </c>
    </row>
    <row r="236" spans="1:6" x14ac:dyDescent="0.25">
      <c r="A236" s="1">
        <v>2445</v>
      </c>
      <c r="B236" t="s">
        <v>430</v>
      </c>
      <c r="C236" t="s">
        <v>300</v>
      </c>
      <c r="D236" t="s">
        <v>224</v>
      </c>
      <c r="E236" s="53">
        <v>24000</v>
      </c>
      <c r="F236" s="53">
        <v>33000</v>
      </c>
    </row>
    <row r="237" spans="1:6" x14ac:dyDescent="0.25">
      <c r="A237" s="1">
        <v>1606</v>
      </c>
      <c r="B237" t="s">
        <v>431</v>
      </c>
      <c r="C237" t="s">
        <v>300</v>
      </c>
      <c r="D237" t="s">
        <v>225</v>
      </c>
      <c r="E237" s="53">
        <v>18000</v>
      </c>
      <c r="F237" s="53">
        <v>26000</v>
      </c>
    </row>
    <row r="238" spans="1:6" x14ac:dyDescent="0.25">
      <c r="A238" s="1">
        <v>2249</v>
      </c>
      <c r="B238" t="s">
        <v>432</v>
      </c>
      <c r="C238" t="s">
        <v>300</v>
      </c>
      <c r="D238" t="s">
        <v>225</v>
      </c>
      <c r="E238" s="53">
        <v>30000</v>
      </c>
      <c r="F238" s="53">
        <v>40000</v>
      </c>
    </row>
    <row r="239" spans="1:6" x14ac:dyDescent="0.25">
      <c r="A239" s="1">
        <v>6493</v>
      </c>
      <c r="B239" t="s">
        <v>271</v>
      </c>
      <c r="C239" t="s">
        <v>300</v>
      </c>
      <c r="D239" t="s">
        <v>225</v>
      </c>
      <c r="E239" s="53">
        <v>28000</v>
      </c>
      <c r="F239" s="53">
        <v>38000</v>
      </c>
    </row>
    <row r="240" spans="1:6" x14ac:dyDescent="0.25">
      <c r="A240" s="1">
        <v>5559</v>
      </c>
      <c r="B240" t="s">
        <v>433</v>
      </c>
      <c r="C240" t="s">
        <v>300</v>
      </c>
      <c r="D240" t="s">
        <v>225</v>
      </c>
      <c r="E240" s="53">
        <v>22500</v>
      </c>
      <c r="F240" s="53">
        <v>32000</v>
      </c>
    </row>
    <row r="241" spans="1:6" x14ac:dyDescent="0.25">
      <c r="A241" s="1">
        <v>7546</v>
      </c>
      <c r="B241" t="s">
        <v>434</v>
      </c>
      <c r="C241" t="s">
        <v>300</v>
      </c>
      <c r="D241" t="s">
        <v>225</v>
      </c>
      <c r="E241" s="53">
        <v>15000</v>
      </c>
      <c r="F241" s="53">
        <v>22000</v>
      </c>
    </row>
    <row r="242" spans="1:6" x14ac:dyDescent="0.25">
      <c r="A242" s="1">
        <v>6790</v>
      </c>
      <c r="B242" t="s">
        <v>435</v>
      </c>
      <c r="C242" t="s">
        <v>300</v>
      </c>
      <c r="D242" t="s">
        <v>225</v>
      </c>
      <c r="E242" s="53">
        <v>14000</v>
      </c>
      <c r="F242" s="53">
        <v>20000</v>
      </c>
    </row>
    <row r="243" spans="1:6" x14ac:dyDescent="0.25">
      <c r="A243" s="1">
        <v>3739</v>
      </c>
      <c r="B243" t="s">
        <v>436</v>
      </c>
      <c r="C243" t="s">
        <v>300</v>
      </c>
      <c r="D243" t="s">
        <v>225</v>
      </c>
      <c r="E243" s="53">
        <v>18000</v>
      </c>
      <c r="F243" s="53">
        <v>26000</v>
      </c>
    </row>
    <row r="244" spans="1:6" x14ac:dyDescent="0.25">
      <c r="A244" s="1">
        <v>3683</v>
      </c>
      <c r="B244" t="s">
        <v>437</v>
      </c>
      <c r="C244" t="s">
        <v>300</v>
      </c>
      <c r="D244" t="s">
        <v>225</v>
      </c>
      <c r="E244" s="53">
        <v>13500</v>
      </c>
      <c r="F244" s="53">
        <v>19500</v>
      </c>
    </row>
    <row r="245" spans="1:6" x14ac:dyDescent="0.25">
      <c r="A245" s="1">
        <v>9048</v>
      </c>
      <c r="B245" t="s">
        <v>438</v>
      </c>
      <c r="C245" t="s">
        <v>300</v>
      </c>
      <c r="D245" t="s">
        <v>225</v>
      </c>
      <c r="E245" s="53">
        <v>16000</v>
      </c>
      <c r="F245" s="53">
        <v>23000</v>
      </c>
    </row>
    <row r="246" spans="1:6" x14ac:dyDescent="0.25">
      <c r="A246" s="1">
        <v>2849</v>
      </c>
      <c r="B246" t="s">
        <v>439</v>
      </c>
      <c r="C246" t="s">
        <v>300</v>
      </c>
      <c r="D246" t="s">
        <v>226</v>
      </c>
      <c r="E246" s="53">
        <v>17000</v>
      </c>
      <c r="F246" s="53">
        <v>24000</v>
      </c>
    </row>
    <row r="247" spans="1:6" x14ac:dyDescent="0.25">
      <c r="A247" s="1">
        <v>2649</v>
      </c>
      <c r="B247" t="s">
        <v>440</v>
      </c>
      <c r="C247" t="s">
        <v>300</v>
      </c>
      <c r="D247" t="s">
        <v>226</v>
      </c>
      <c r="E247" s="53">
        <v>19000</v>
      </c>
      <c r="F247" s="53">
        <v>27000</v>
      </c>
    </row>
    <row r="248" spans="1:6" x14ac:dyDescent="0.25">
      <c r="A248" s="1">
        <v>4825</v>
      </c>
      <c r="B248" t="s">
        <v>441</v>
      </c>
      <c r="C248" t="s">
        <v>300</v>
      </c>
      <c r="D248" t="s">
        <v>226</v>
      </c>
      <c r="E248" s="53">
        <v>20000</v>
      </c>
      <c r="F248" s="53">
        <v>28000</v>
      </c>
    </row>
    <row r="249" spans="1:6" x14ac:dyDescent="0.25">
      <c r="A249" s="1">
        <v>8427</v>
      </c>
      <c r="B249" t="s">
        <v>442</v>
      </c>
      <c r="C249" t="s">
        <v>300</v>
      </c>
      <c r="D249" t="s">
        <v>226</v>
      </c>
      <c r="E249" s="53">
        <v>14500</v>
      </c>
      <c r="F249" s="53">
        <v>21000</v>
      </c>
    </row>
    <row r="250" spans="1:6" x14ac:dyDescent="0.25">
      <c r="A250" s="1">
        <v>3192</v>
      </c>
      <c r="B250" t="s">
        <v>443</v>
      </c>
      <c r="C250" t="s">
        <v>300</v>
      </c>
      <c r="D250" t="s">
        <v>226</v>
      </c>
      <c r="E250" s="53">
        <v>15000</v>
      </c>
      <c r="F250" s="53">
        <v>22000</v>
      </c>
    </row>
    <row r="251" spans="1:6" x14ac:dyDescent="0.25">
      <c r="A251" s="1">
        <v>4718</v>
      </c>
      <c r="B251" t="s">
        <v>444</v>
      </c>
      <c r="C251" t="s">
        <v>300</v>
      </c>
      <c r="D251" t="s">
        <v>226</v>
      </c>
      <c r="E251" s="53">
        <v>12000</v>
      </c>
      <c r="F251" s="53">
        <v>18000</v>
      </c>
    </row>
    <row r="252" spans="1:6" x14ac:dyDescent="0.25">
      <c r="A252" s="1">
        <v>2449</v>
      </c>
      <c r="B252" t="s">
        <v>445</v>
      </c>
      <c r="C252" t="s">
        <v>300</v>
      </c>
      <c r="D252" t="s">
        <v>226</v>
      </c>
      <c r="E252" s="53">
        <v>13500</v>
      </c>
      <c r="F252" s="53">
        <v>19500</v>
      </c>
    </row>
    <row r="253" spans="1:6" x14ac:dyDescent="0.25">
      <c r="A253" s="1">
        <v>2637</v>
      </c>
      <c r="B253" t="s">
        <v>446</v>
      </c>
      <c r="C253" t="s">
        <v>300</v>
      </c>
      <c r="D253" t="s">
        <v>226</v>
      </c>
      <c r="E253" s="53">
        <v>17000</v>
      </c>
      <c r="F253" s="53">
        <v>24000</v>
      </c>
    </row>
    <row r="254" spans="1:6" x14ac:dyDescent="0.25">
      <c r="A254" s="1">
        <v>3303</v>
      </c>
      <c r="B254" t="s">
        <v>447</v>
      </c>
      <c r="C254" t="s">
        <v>300</v>
      </c>
      <c r="D254" t="s">
        <v>226</v>
      </c>
      <c r="E254" s="53">
        <v>14000</v>
      </c>
      <c r="F254" s="53">
        <v>20000</v>
      </c>
    </row>
    <row r="255" spans="1:6" x14ac:dyDescent="0.25">
      <c r="A255" s="1">
        <v>7672</v>
      </c>
      <c r="B255" t="s">
        <v>448</v>
      </c>
      <c r="C255" t="s">
        <v>300</v>
      </c>
      <c r="D255" t="s">
        <v>227</v>
      </c>
      <c r="E255" s="53">
        <v>16500</v>
      </c>
      <c r="F255" s="53">
        <v>23000</v>
      </c>
    </row>
    <row r="256" spans="1:6" x14ac:dyDescent="0.25">
      <c r="A256" s="1">
        <v>8691</v>
      </c>
      <c r="B256" t="s">
        <v>449</v>
      </c>
      <c r="C256" t="s">
        <v>300</v>
      </c>
      <c r="D256" t="s">
        <v>227</v>
      </c>
      <c r="E256" s="53">
        <v>15500</v>
      </c>
      <c r="F256" s="53">
        <v>22500</v>
      </c>
    </row>
    <row r="257" spans="1:6" x14ac:dyDescent="0.25">
      <c r="A257" s="1">
        <v>7541</v>
      </c>
      <c r="B257" t="s">
        <v>450</v>
      </c>
      <c r="C257" t="s">
        <v>300</v>
      </c>
      <c r="D257" t="s">
        <v>227</v>
      </c>
      <c r="E257" s="53">
        <v>18000</v>
      </c>
      <c r="F257" s="53">
        <v>25000</v>
      </c>
    </row>
    <row r="258" spans="1:6" x14ac:dyDescent="0.25">
      <c r="A258" s="1">
        <v>4860</v>
      </c>
      <c r="B258" t="s">
        <v>451</v>
      </c>
      <c r="C258" t="s">
        <v>300</v>
      </c>
      <c r="D258" t="s">
        <v>227</v>
      </c>
      <c r="E258" s="53">
        <v>20000</v>
      </c>
      <c r="F258" s="53">
        <v>27000</v>
      </c>
    </row>
    <row r="259" spans="1:6" x14ac:dyDescent="0.25">
      <c r="A259" s="1">
        <v>9126</v>
      </c>
      <c r="B259" t="s">
        <v>452</v>
      </c>
      <c r="C259" t="s">
        <v>300</v>
      </c>
      <c r="D259" t="s">
        <v>227</v>
      </c>
      <c r="E259" s="53">
        <v>10000</v>
      </c>
      <c r="F259" s="53">
        <v>15000</v>
      </c>
    </row>
    <row r="260" spans="1:6" x14ac:dyDescent="0.25">
      <c r="A260" s="1">
        <v>8992</v>
      </c>
      <c r="B260" t="s">
        <v>453</v>
      </c>
      <c r="C260" t="s">
        <v>300</v>
      </c>
      <c r="D260" t="s">
        <v>227</v>
      </c>
      <c r="E260" s="53">
        <v>12000</v>
      </c>
      <c r="F260" s="53">
        <v>18000</v>
      </c>
    </row>
    <row r="261" spans="1:6" x14ac:dyDescent="0.25">
      <c r="A261" s="1">
        <v>6496</v>
      </c>
      <c r="B261" t="s">
        <v>454</v>
      </c>
      <c r="C261" t="s">
        <v>300</v>
      </c>
      <c r="D261" t="s">
        <v>227</v>
      </c>
      <c r="E261" s="53">
        <v>11500</v>
      </c>
      <c r="F261" s="53">
        <v>17500</v>
      </c>
    </row>
    <row r="262" spans="1:6" x14ac:dyDescent="0.25">
      <c r="A262" s="1">
        <v>2991</v>
      </c>
      <c r="B262" t="s">
        <v>455</v>
      </c>
      <c r="C262" t="s">
        <v>300</v>
      </c>
      <c r="D262" t="s">
        <v>227</v>
      </c>
      <c r="E262" s="53">
        <v>13000</v>
      </c>
      <c r="F262" s="53">
        <v>19000</v>
      </c>
    </row>
    <row r="263" spans="1:6" x14ac:dyDescent="0.25">
      <c r="A263" s="1">
        <v>2539</v>
      </c>
      <c r="B263" t="s">
        <v>456</v>
      </c>
      <c r="C263" t="s">
        <v>300</v>
      </c>
      <c r="D263" t="s">
        <v>227</v>
      </c>
      <c r="E263" s="53">
        <v>14500</v>
      </c>
      <c r="F263" s="53">
        <v>21000</v>
      </c>
    </row>
    <row r="264" spans="1:6" x14ac:dyDescent="0.25">
      <c r="A264" s="1">
        <v>5395</v>
      </c>
      <c r="B264" t="s">
        <v>457</v>
      </c>
      <c r="C264" t="s">
        <v>300</v>
      </c>
      <c r="D264" t="s">
        <v>228</v>
      </c>
      <c r="E264" s="53">
        <v>12500</v>
      </c>
      <c r="F264" s="53">
        <v>18500</v>
      </c>
    </row>
    <row r="265" spans="1:6" x14ac:dyDescent="0.25">
      <c r="A265" s="1">
        <v>4141</v>
      </c>
      <c r="B265" t="s">
        <v>458</v>
      </c>
      <c r="C265" t="s">
        <v>300</v>
      </c>
      <c r="D265" t="s">
        <v>228</v>
      </c>
      <c r="E265" s="53">
        <v>15000</v>
      </c>
      <c r="F265" s="53">
        <v>22000</v>
      </c>
    </row>
    <row r="266" spans="1:6" x14ac:dyDescent="0.25">
      <c r="A266" s="1">
        <v>9581</v>
      </c>
      <c r="B266" t="s">
        <v>459</v>
      </c>
      <c r="C266" t="s">
        <v>300</v>
      </c>
      <c r="D266" t="s">
        <v>228</v>
      </c>
      <c r="E266" s="53">
        <v>13500</v>
      </c>
      <c r="F266" s="53">
        <v>19500</v>
      </c>
    </row>
    <row r="267" spans="1:6" x14ac:dyDescent="0.25">
      <c r="A267" s="1">
        <v>4958</v>
      </c>
      <c r="B267" t="s">
        <v>460</v>
      </c>
      <c r="C267" t="s">
        <v>300</v>
      </c>
      <c r="D267" t="s">
        <v>228</v>
      </c>
      <c r="E267" s="53">
        <v>11000</v>
      </c>
      <c r="F267" s="53">
        <v>16000</v>
      </c>
    </row>
    <row r="268" spans="1:6" x14ac:dyDescent="0.25">
      <c r="A268" s="1">
        <v>1843</v>
      </c>
      <c r="B268" t="s">
        <v>461</v>
      </c>
      <c r="C268" t="s">
        <v>300</v>
      </c>
      <c r="D268" t="s">
        <v>228</v>
      </c>
      <c r="E268" s="53">
        <v>8000</v>
      </c>
      <c r="F268" s="53">
        <v>12000</v>
      </c>
    </row>
    <row r="269" spans="1:6" x14ac:dyDescent="0.25">
      <c r="A269" s="1">
        <v>3490</v>
      </c>
      <c r="B269" t="s">
        <v>462</v>
      </c>
      <c r="C269" t="s">
        <v>300</v>
      </c>
      <c r="D269" t="s">
        <v>228</v>
      </c>
      <c r="E269" s="53">
        <v>9000</v>
      </c>
      <c r="F269" s="53">
        <v>13000</v>
      </c>
    </row>
    <row r="270" spans="1:6" x14ac:dyDescent="0.25">
      <c r="A270" s="1">
        <v>4929</v>
      </c>
      <c r="B270" t="s">
        <v>463</v>
      </c>
      <c r="C270" t="s">
        <v>300</v>
      </c>
      <c r="D270" t="s">
        <v>228</v>
      </c>
      <c r="E270" s="53">
        <v>10000</v>
      </c>
      <c r="F270" s="53">
        <v>14000</v>
      </c>
    </row>
    <row r="271" spans="1:6" x14ac:dyDescent="0.25">
      <c r="A271" s="1">
        <v>7027</v>
      </c>
      <c r="B271" t="s">
        <v>464</v>
      </c>
      <c r="C271" t="s">
        <v>300</v>
      </c>
      <c r="D271" t="s">
        <v>228</v>
      </c>
      <c r="E271" s="53">
        <v>8500</v>
      </c>
      <c r="F271" s="53">
        <v>12500</v>
      </c>
    </row>
    <row r="272" spans="1:6" x14ac:dyDescent="0.25">
      <c r="A272" s="1">
        <v>2472</v>
      </c>
      <c r="B272" s="4" t="s">
        <v>465</v>
      </c>
      <c r="C272" t="s">
        <v>300</v>
      </c>
      <c r="D272" t="s">
        <v>228</v>
      </c>
      <c r="E272" s="53">
        <v>9500</v>
      </c>
      <c r="F272" s="53">
        <v>13500</v>
      </c>
    </row>
    <row r="273" spans="1:6" x14ac:dyDescent="0.25">
      <c r="A273" s="1">
        <v>3396</v>
      </c>
      <c r="B273" t="s">
        <v>466</v>
      </c>
      <c r="C273" t="s">
        <v>300</v>
      </c>
      <c r="D273" t="s">
        <v>229</v>
      </c>
      <c r="E273" s="53">
        <v>11000</v>
      </c>
      <c r="F273" s="53">
        <v>15000</v>
      </c>
    </row>
    <row r="274" spans="1:6" x14ac:dyDescent="0.25">
      <c r="A274" s="1">
        <v>2375</v>
      </c>
      <c r="B274" t="s">
        <v>467</v>
      </c>
      <c r="C274" t="s">
        <v>300</v>
      </c>
      <c r="D274" t="s">
        <v>229</v>
      </c>
      <c r="E274" s="53">
        <v>12000</v>
      </c>
      <c r="F274" s="53">
        <v>17000</v>
      </c>
    </row>
    <row r="275" spans="1:6" x14ac:dyDescent="0.25">
      <c r="A275" s="1">
        <v>2068</v>
      </c>
      <c r="B275" t="s">
        <v>468</v>
      </c>
      <c r="C275" t="s">
        <v>300</v>
      </c>
      <c r="D275" t="s">
        <v>229</v>
      </c>
      <c r="E275" s="53">
        <v>13000</v>
      </c>
      <c r="F275" s="53">
        <v>18000</v>
      </c>
    </row>
    <row r="276" spans="1:6" x14ac:dyDescent="0.25">
      <c r="A276" s="1">
        <v>8095</v>
      </c>
      <c r="B276" t="s">
        <v>469</v>
      </c>
      <c r="C276" t="s">
        <v>300</v>
      </c>
      <c r="D276" t="s">
        <v>229</v>
      </c>
      <c r="E276" s="53">
        <v>14000</v>
      </c>
      <c r="F276" s="53">
        <v>20000</v>
      </c>
    </row>
    <row r="277" spans="1:6" x14ac:dyDescent="0.25">
      <c r="A277" s="1">
        <v>9319</v>
      </c>
      <c r="B277" t="s">
        <v>470</v>
      </c>
      <c r="C277" t="s">
        <v>300</v>
      </c>
      <c r="D277" t="s">
        <v>229</v>
      </c>
      <c r="E277" s="53">
        <v>18000</v>
      </c>
      <c r="F277" s="53">
        <v>25000</v>
      </c>
    </row>
    <row r="278" spans="1:6" x14ac:dyDescent="0.25">
      <c r="A278" s="1">
        <v>3143</v>
      </c>
      <c r="B278" t="s">
        <v>471</v>
      </c>
      <c r="C278" t="s">
        <v>300</v>
      </c>
      <c r="D278" t="s">
        <v>229</v>
      </c>
      <c r="E278" s="53">
        <v>20000</v>
      </c>
      <c r="F278" s="53">
        <v>28000</v>
      </c>
    </row>
    <row r="279" spans="1:6" x14ac:dyDescent="0.25">
      <c r="A279" s="1">
        <v>7918</v>
      </c>
      <c r="B279" t="s">
        <v>472</v>
      </c>
      <c r="C279" t="s">
        <v>300</v>
      </c>
      <c r="D279" t="s">
        <v>229</v>
      </c>
      <c r="E279" s="53">
        <v>15500</v>
      </c>
      <c r="F279" s="53">
        <v>22000</v>
      </c>
    </row>
    <row r="280" spans="1:6" x14ac:dyDescent="0.25">
      <c r="A280" s="1">
        <v>5391</v>
      </c>
      <c r="B280" t="s">
        <v>473</v>
      </c>
      <c r="C280" t="s">
        <v>300</v>
      </c>
      <c r="D280" t="s">
        <v>229</v>
      </c>
      <c r="E280" s="53">
        <v>16000</v>
      </c>
      <c r="F280" s="53">
        <v>23000</v>
      </c>
    </row>
    <row r="281" spans="1:6" x14ac:dyDescent="0.25">
      <c r="A281" s="1">
        <v>6383</v>
      </c>
      <c r="B281" t="s">
        <v>474</v>
      </c>
      <c r="C281" t="s">
        <v>300</v>
      </c>
      <c r="D281" t="s">
        <v>229</v>
      </c>
      <c r="E281" s="53">
        <v>17500</v>
      </c>
      <c r="F281" s="53">
        <v>24500</v>
      </c>
    </row>
    <row r="282" spans="1:6" x14ac:dyDescent="0.25">
      <c r="A282" s="1">
        <v>2929</v>
      </c>
      <c r="B282" t="s">
        <v>475</v>
      </c>
      <c r="C282" t="s">
        <v>300</v>
      </c>
      <c r="D282" t="s">
        <v>230</v>
      </c>
      <c r="E282" s="53">
        <v>19000</v>
      </c>
      <c r="F282" s="53">
        <v>26000</v>
      </c>
    </row>
    <row r="283" spans="1:6" x14ac:dyDescent="0.25">
      <c r="A283" s="1">
        <v>2171</v>
      </c>
      <c r="B283" t="s">
        <v>476</v>
      </c>
      <c r="C283" t="s">
        <v>300</v>
      </c>
      <c r="D283" t="s">
        <v>230</v>
      </c>
      <c r="E283" s="53">
        <v>21000</v>
      </c>
      <c r="F283" s="53">
        <v>29000</v>
      </c>
    </row>
    <row r="284" spans="1:6" x14ac:dyDescent="0.25">
      <c r="A284" s="1">
        <v>4740</v>
      </c>
      <c r="B284" t="s">
        <v>477</v>
      </c>
      <c r="C284" t="s">
        <v>300</v>
      </c>
      <c r="D284" t="s">
        <v>230</v>
      </c>
      <c r="E284" s="53">
        <v>18500</v>
      </c>
      <c r="F284" s="53">
        <v>25500</v>
      </c>
    </row>
    <row r="285" spans="1:6" x14ac:dyDescent="0.25">
      <c r="A285" s="1">
        <v>5083</v>
      </c>
      <c r="B285" t="s">
        <v>478</v>
      </c>
      <c r="C285" t="s">
        <v>300</v>
      </c>
      <c r="D285" t="s">
        <v>230</v>
      </c>
      <c r="E285" s="53">
        <v>20500</v>
      </c>
      <c r="F285" s="53">
        <v>28500</v>
      </c>
    </row>
    <row r="286" spans="1:6" x14ac:dyDescent="0.25">
      <c r="A286" s="1">
        <v>2506</v>
      </c>
      <c r="B286" t="s">
        <v>479</v>
      </c>
      <c r="C286" t="s">
        <v>300</v>
      </c>
      <c r="D286" t="s">
        <v>230</v>
      </c>
      <c r="E286" s="53">
        <v>12000</v>
      </c>
      <c r="F286" s="53">
        <v>17000</v>
      </c>
    </row>
    <row r="287" spans="1:6" x14ac:dyDescent="0.25">
      <c r="A287" s="1">
        <v>5723</v>
      </c>
      <c r="B287" t="s">
        <v>480</v>
      </c>
      <c r="C287" t="s">
        <v>300</v>
      </c>
      <c r="D287" t="s">
        <v>230</v>
      </c>
      <c r="E287" s="53">
        <v>14000</v>
      </c>
      <c r="F287" s="53">
        <v>20000</v>
      </c>
    </row>
    <row r="288" spans="1:6" x14ac:dyDescent="0.25">
      <c r="A288" s="1">
        <v>1362</v>
      </c>
      <c r="B288" t="s">
        <v>481</v>
      </c>
      <c r="C288" t="s">
        <v>300</v>
      </c>
      <c r="D288" t="s">
        <v>230</v>
      </c>
      <c r="E288" s="53">
        <v>13500</v>
      </c>
      <c r="F288" s="53">
        <v>19000</v>
      </c>
    </row>
    <row r="289" spans="1:6" x14ac:dyDescent="0.25">
      <c r="A289" s="1">
        <v>4275</v>
      </c>
      <c r="B289" t="s">
        <v>482</v>
      </c>
      <c r="C289" t="s">
        <v>300</v>
      </c>
      <c r="D289" t="s">
        <v>230</v>
      </c>
      <c r="E289" s="53">
        <v>12500</v>
      </c>
      <c r="F289" s="53">
        <v>18000</v>
      </c>
    </row>
    <row r="290" spans="1:6" x14ac:dyDescent="0.25">
      <c r="A290" s="1">
        <v>5826</v>
      </c>
      <c r="B290" t="s">
        <v>483</v>
      </c>
      <c r="C290" t="s">
        <v>300</v>
      </c>
      <c r="D290" t="s">
        <v>230</v>
      </c>
      <c r="E290" s="53">
        <v>15000</v>
      </c>
      <c r="F290" s="53">
        <v>21000</v>
      </c>
    </row>
    <row r="291" spans="1:6" x14ac:dyDescent="0.25">
      <c r="A291" s="1">
        <v>9226</v>
      </c>
      <c r="B291" t="s">
        <v>484</v>
      </c>
      <c r="C291" t="s">
        <v>300</v>
      </c>
      <c r="D291" t="s">
        <v>231</v>
      </c>
      <c r="E291" s="53">
        <v>11500</v>
      </c>
      <c r="F291" s="53">
        <v>16000</v>
      </c>
    </row>
    <row r="292" spans="1:6" x14ac:dyDescent="0.25">
      <c r="A292" s="1">
        <v>6521</v>
      </c>
      <c r="B292" t="s">
        <v>485</v>
      </c>
      <c r="C292" t="s">
        <v>300</v>
      </c>
      <c r="D292" t="s">
        <v>231</v>
      </c>
      <c r="E292" s="53">
        <v>13000</v>
      </c>
      <c r="F292" s="53">
        <v>18500</v>
      </c>
    </row>
    <row r="293" spans="1:6" x14ac:dyDescent="0.25">
      <c r="A293" s="1">
        <v>2513</v>
      </c>
      <c r="B293" t="s">
        <v>486</v>
      </c>
      <c r="C293" t="s">
        <v>300</v>
      </c>
      <c r="D293" t="s">
        <v>231</v>
      </c>
      <c r="E293" s="53">
        <v>14500</v>
      </c>
      <c r="F293" s="53">
        <v>20500</v>
      </c>
    </row>
    <row r="294" spans="1:6" x14ac:dyDescent="0.25">
      <c r="A294" s="1">
        <v>9961</v>
      </c>
      <c r="B294" t="s">
        <v>487</v>
      </c>
      <c r="C294" t="s">
        <v>300</v>
      </c>
      <c r="D294" t="s">
        <v>231</v>
      </c>
      <c r="E294" s="53">
        <v>12000</v>
      </c>
      <c r="F294" s="53">
        <v>17500</v>
      </c>
    </row>
    <row r="295" spans="1:6" x14ac:dyDescent="0.25">
      <c r="A295" s="1">
        <v>6864</v>
      </c>
      <c r="B295" t="s">
        <v>474</v>
      </c>
      <c r="C295" t="s">
        <v>300</v>
      </c>
      <c r="D295" t="s">
        <v>231</v>
      </c>
      <c r="E295" s="53">
        <v>15000</v>
      </c>
      <c r="F295" s="53">
        <v>22000</v>
      </c>
    </row>
    <row r="296" spans="1:6" x14ac:dyDescent="0.25">
      <c r="A296" s="1">
        <v>8074</v>
      </c>
      <c r="B296" t="s">
        <v>488</v>
      </c>
      <c r="C296" t="s">
        <v>300</v>
      </c>
      <c r="D296" t="s">
        <v>231</v>
      </c>
      <c r="E296" s="53">
        <v>16500</v>
      </c>
      <c r="F296" s="53">
        <v>23000</v>
      </c>
    </row>
    <row r="297" spans="1:6" x14ac:dyDescent="0.25">
      <c r="A297" s="1">
        <v>7910</v>
      </c>
      <c r="B297" t="s">
        <v>432</v>
      </c>
      <c r="C297" t="s">
        <v>300</v>
      </c>
      <c r="D297" t="s">
        <v>231</v>
      </c>
      <c r="E297" s="53">
        <v>20000</v>
      </c>
      <c r="F297" s="53">
        <v>27000</v>
      </c>
    </row>
    <row r="298" spans="1:6" x14ac:dyDescent="0.25">
      <c r="A298" s="1">
        <v>3055</v>
      </c>
      <c r="B298" t="s">
        <v>489</v>
      </c>
      <c r="C298" t="s">
        <v>300</v>
      </c>
      <c r="D298" t="s">
        <v>231</v>
      </c>
      <c r="E298" s="53">
        <v>13500</v>
      </c>
      <c r="F298" s="53">
        <v>19000</v>
      </c>
    </row>
    <row r="299" spans="1:6" x14ac:dyDescent="0.25">
      <c r="A299" s="1">
        <v>7147</v>
      </c>
      <c r="B299" t="s">
        <v>490</v>
      </c>
      <c r="C299" t="s">
        <v>300</v>
      </c>
      <c r="D299" t="s">
        <v>231</v>
      </c>
      <c r="E299" s="53">
        <v>14000</v>
      </c>
      <c r="F299" s="53">
        <v>20000</v>
      </c>
    </row>
    <row r="300" spans="1:6" x14ac:dyDescent="0.25">
      <c r="A300" s="1">
        <v>9437</v>
      </c>
      <c r="B300" t="s">
        <v>491</v>
      </c>
      <c r="C300" t="s">
        <v>300</v>
      </c>
      <c r="D300" t="s">
        <v>232</v>
      </c>
      <c r="E300" s="53">
        <v>17000</v>
      </c>
      <c r="F300" s="53">
        <v>24000</v>
      </c>
    </row>
    <row r="301" spans="1:6" x14ac:dyDescent="0.25">
      <c r="A301" s="1">
        <v>3158</v>
      </c>
      <c r="B301" t="s">
        <v>492</v>
      </c>
      <c r="C301" t="s">
        <v>300</v>
      </c>
      <c r="D301" t="s">
        <v>232</v>
      </c>
      <c r="E301" s="53">
        <v>18000</v>
      </c>
      <c r="F301" s="53">
        <v>25000</v>
      </c>
    </row>
    <row r="302" spans="1:6" x14ac:dyDescent="0.25">
      <c r="A302" s="1">
        <v>4348</v>
      </c>
      <c r="B302" t="s">
        <v>493</v>
      </c>
      <c r="C302" t="s">
        <v>300</v>
      </c>
      <c r="D302" t="s">
        <v>232</v>
      </c>
      <c r="E302" s="53">
        <v>19500</v>
      </c>
      <c r="F302" s="53">
        <v>26500</v>
      </c>
    </row>
    <row r="303" spans="1:6" x14ac:dyDescent="0.25">
      <c r="A303" s="1">
        <v>1515</v>
      </c>
      <c r="B303" t="s">
        <v>457</v>
      </c>
      <c r="C303" t="s">
        <v>300</v>
      </c>
      <c r="D303" t="s">
        <v>232</v>
      </c>
      <c r="E303" s="53">
        <v>12500</v>
      </c>
      <c r="F303" s="53">
        <v>18500</v>
      </c>
    </row>
    <row r="304" spans="1:6" x14ac:dyDescent="0.25">
      <c r="A304" s="1">
        <v>1185</v>
      </c>
      <c r="B304" t="s">
        <v>272</v>
      </c>
      <c r="C304" t="s">
        <v>300</v>
      </c>
      <c r="D304" t="s">
        <v>232</v>
      </c>
      <c r="E304" s="53">
        <v>15000</v>
      </c>
      <c r="F304" s="53">
        <v>21000</v>
      </c>
    </row>
    <row r="305" spans="1:6" x14ac:dyDescent="0.25">
      <c r="A305" s="1">
        <v>6931</v>
      </c>
      <c r="B305" t="s">
        <v>273</v>
      </c>
      <c r="C305" t="s">
        <v>300</v>
      </c>
      <c r="D305" t="s">
        <v>232</v>
      </c>
      <c r="E305" s="53">
        <v>16000</v>
      </c>
      <c r="F305" s="53">
        <v>22000</v>
      </c>
    </row>
    <row r="306" spans="1:6" x14ac:dyDescent="0.25">
      <c r="A306" s="1">
        <v>8816</v>
      </c>
      <c r="B306" t="s">
        <v>274</v>
      </c>
      <c r="C306" t="s">
        <v>300</v>
      </c>
      <c r="D306" t="s">
        <v>232</v>
      </c>
      <c r="E306" s="53">
        <v>14500</v>
      </c>
      <c r="F306" s="53">
        <v>20500</v>
      </c>
    </row>
    <row r="307" spans="1:6" x14ac:dyDescent="0.25">
      <c r="A307" s="1">
        <v>1010</v>
      </c>
      <c r="B307" t="s">
        <v>275</v>
      </c>
      <c r="C307" t="s">
        <v>300</v>
      </c>
      <c r="D307" t="s">
        <v>232</v>
      </c>
      <c r="E307" s="53">
        <v>13500</v>
      </c>
      <c r="F307" s="53">
        <v>19500</v>
      </c>
    </row>
    <row r="308" spans="1:6" x14ac:dyDescent="0.25">
      <c r="A308" s="1">
        <v>3528</v>
      </c>
      <c r="B308" t="s">
        <v>276</v>
      </c>
      <c r="C308" t="s">
        <v>300</v>
      </c>
      <c r="D308" t="s">
        <v>232</v>
      </c>
      <c r="E308" s="53">
        <v>15500</v>
      </c>
      <c r="F308" s="53">
        <v>21500</v>
      </c>
    </row>
    <row r="309" spans="1:6" x14ac:dyDescent="0.25">
      <c r="A309" s="1">
        <v>1939</v>
      </c>
      <c r="B309" t="s">
        <v>277</v>
      </c>
      <c r="C309" t="s">
        <v>300</v>
      </c>
      <c r="D309" t="s">
        <v>233</v>
      </c>
      <c r="E309" s="53">
        <v>16500</v>
      </c>
      <c r="F309" s="53">
        <v>22500</v>
      </c>
    </row>
    <row r="310" spans="1:6" x14ac:dyDescent="0.25">
      <c r="A310" s="1">
        <v>3342</v>
      </c>
      <c r="B310" t="s">
        <v>278</v>
      </c>
      <c r="C310" t="s">
        <v>300</v>
      </c>
      <c r="D310" t="s">
        <v>233</v>
      </c>
      <c r="E310" s="53">
        <v>14000</v>
      </c>
      <c r="F310" s="53">
        <v>20000</v>
      </c>
    </row>
    <row r="311" spans="1:6" x14ac:dyDescent="0.25">
      <c r="A311" s="1">
        <v>2587</v>
      </c>
      <c r="B311" t="s">
        <v>279</v>
      </c>
      <c r="C311" t="s">
        <v>300</v>
      </c>
      <c r="D311" t="s">
        <v>233</v>
      </c>
      <c r="E311" s="53">
        <v>17000</v>
      </c>
      <c r="F311" s="53">
        <v>23000</v>
      </c>
    </row>
    <row r="312" spans="1:6" x14ac:dyDescent="0.25">
      <c r="A312" s="1">
        <v>7588</v>
      </c>
      <c r="B312" t="s">
        <v>280</v>
      </c>
      <c r="C312" t="s">
        <v>300</v>
      </c>
      <c r="D312" t="s">
        <v>233</v>
      </c>
      <c r="E312" s="53">
        <v>15000</v>
      </c>
      <c r="F312" s="53">
        <v>21000</v>
      </c>
    </row>
    <row r="313" spans="1:6" x14ac:dyDescent="0.25">
      <c r="A313" s="1">
        <v>3402</v>
      </c>
      <c r="B313" t="s">
        <v>281</v>
      </c>
      <c r="C313" t="s">
        <v>300</v>
      </c>
      <c r="D313" t="s">
        <v>233</v>
      </c>
      <c r="E313" s="53">
        <v>14000</v>
      </c>
      <c r="F313" s="53">
        <v>20000</v>
      </c>
    </row>
    <row r="314" spans="1:6" x14ac:dyDescent="0.25">
      <c r="A314" s="1">
        <v>8271</v>
      </c>
      <c r="B314" t="s">
        <v>282</v>
      </c>
      <c r="C314" t="s">
        <v>300</v>
      </c>
      <c r="D314" t="s">
        <v>233</v>
      </c>
      <c r="E314" s="53">
        <v>15000</v>
      </c>
      <c r="F314" s="53">
        <v>21000</v>
      </c>
    </row>
    <row r="315" spans="1:6" x14ac:dyDescent="0.25">
      <c r="A315" s="1">
        <v>9011</v>
      </c>
      <c r="B315" t="s">
        <v>283</v>
      </c>
      <c r="C315" t="s">
        <v>300</v>
      </c>
      <c r="D315" t="s">
        <v>233</v>
      </c>
      <c r="E315" s="53">
        <v>16000</v>
      </c>
      <c r="F315" s="53">
        <v>22000</v>
      </c>
    </row>
    <row r="316" spans="1:6" x14ac:dyDescent="0.25">
      <c r="A316" s="1">
        <v>8353</v>
      </c>
      <c r="B316" t="s">
        <v>284</v>
      </c>
      <c r="C316" t="s">
        <v>300</v>
      </c>
      <c r="D316" t="s">
        <v>233</v>
      </c>
      <c r="E316" s="53">
        <v>17000</v>
      </c>
      <c r="F316" s="53">
        <v>23000</v>
      </c>
    </row>
    <row r="317" spans="1:6" x14ac:dyDescent="0.25">
      <c r="A317" s="1">
        <v>6833</v>
      </c>
      <c r="B317" t="s">
        <v>285</v>
      </c>
      <c r="C317" t="s">
        <v>300</v>
      </c>
      <c r="D317" t="s">
        <v>233</v>
      </c>
      <c r="E317" s="53">
        <v>14500</v>
      </c>
      <c r="F317" s="53">
        <v>20500</v>
      </c>
    </row>
    <row r="318" spans="1:6" x14ac:dyDescent="0.25">
      <c r="A318" s="1">
        <v>8224</v>
      </c>
      <c r="B318" t="s">
        <v>286</v>
      </c>
      <c r="C318" t="s">
        <v>300</v>
      </c>
      <c r="D318" t="s">
        <v>234</v>
      </c>
      <c r="E318" s="53">
        <v>15500</v>
      </c>
      <c r="F318" s="53">
        <v>21500</v>
      </c>
    </row>
    <row r="319" spans="1:6" x14ac:dyDescent="0.25">
      <c r="A319" s="1">
        <v>3075</v>
      </c>
      <c r="B319" t="s">
        <v>287</v>
      </c>
      <c r="C319" t="s">
        <v>300</v>
      </c>
      <c r="D319" t="s">
        <v>234</v>
      </c>
      <c r="E319" s="53">
        <v>13500</v>
      </c>
      <c r="F319" s="53">
        <v>19500</v>
      </c>
    </row>
    <row r="320" spans="1:6" x14ac:dyDescent="0.25">
      <c r="A320" s="1">
        <v>8355</v>
      </c>
      <c r="B320" t="s">
        <v>288</v>
      </c>
      <c r="C320" t="s">
        <v>300</v>
      </c>
      <c r="D320" t="s">
        <v>234</v>
      </c>
      <c r="E320" s="53">
        <v>14000</v>
      </c>
      <c r="F320" s="53">
        <v>20000</v>
      </c>
    </row>
    <row r="321" spans="1:6" x14ac:dyDescent="0.25">
      <c r="A321" s="1">
        <v>2631</v>
      </c>
      <c r="B321" t="s">
        <v>289</v>
      </c>
      <c r="C321" t="s">
        <v>300</v>
      </c>
      <c r="D321" t="s">
        <v>234</v>
      </c>
      <c r="E321" s="53">
        <v>15000</v>
      </c>
      <c r="F321" s="53">
        <v>21000</v>
      </c>
    </row>
    <row r="322" spans="1:6" x14ac:dyDescent="0.25">
      <c r="A322" s="1">
        <v>4378</v>
      </c>
      <c r="B322" t="s">
        <v>290</v>
      </c>
      <c r="C322" t="s">
        <v>300</v>
      </c>
      <c r="D322" t="s">
        <v>234</v>
      </c>
      <c r="E322" s="53">
        <v>15500</v>
      </c>
      <c r="F322" s="53">
        <v>21500</v>
      </c>
    </row>
    <row r="323" spans="1:6" x14ac:dyDescent="0.25">
      <c r="A323" s="1">
        <v>9054</v>
      </c>
      <c r="B323" t="s">
        <v>291</v>
      </c>
      <c r="C323" t="s">
        <v>300</v>
      </c>
      <c r="D323" t="s">
        <v>234</v>
      </c>
      <c r="E323" s="53">
        <v>13500</v>
      </c>
      <c r="F323" s="53">
        <v>19500</v>
      </c>
    </row>
    <row r="324" spans="1:6" x14ac:dyDescent="0.25">
      <c r="A324" s="1">
        <v>9505</v>
      </c>
      <c r="B324" t="s">
        <v>292</v>
      </c>
      <c r="C324" t="s">
        <v>300</v>
      </c>
      <c r="D324" t="s">
        <v>234</v>
      </c>
      <c r="E324" s="53">
        <v>14000</v>
      </c>
      <c r="F324" s="53">
        <v>20000</v>
      </c>
    </row>
    <row r="325" spans="1:6" x14ac:dyDescent="0.25">
      <c r="A325" s="1">
        <v>4550</v>
      </c>
      <c r="B325" t="s">
        <v>293</v>
      </c>
      <c r="C325" t="s">
        <v>300</v>
      </c>
      <c r="D325" t="s">
        <v>234</v>
      </c>
      <c r="E325" s="53">
        <v>15000</v>
      </c>
      <c r="F325" s="53">
        <v>21000</v>
      </c>
    </row>
    <row r="326" spans="1:6" x14ac:dyDescent="0.25">
      <c r="A326" s="1">
        <v>2410</v>
      </c>
      <c r="B326" t="s">
        <v>294</v>
      </c>
      <c r="C326" t="s">
        <v>300</v>
      </c>
      <c r="D326" t="s">
        <v>234</v>
      </c>
      <c r="E326" s="53">
        <v>15000</v>
      </c>
      <c r="F326" s="53">
        <v>21000</v>
      </c>
    </row>
    <row r="327" spans="1:6" x14ac:dyDescent="0.25">
      <c r="A327" s="1">
        <v>7054</v>
      </c>
      <c r="B327" t="s">
        <v>494</v>
      </c>
      <c r="C327" t="s">
        <v>301</v>
      </c>
      <c r="D327" t="s">
        <v>235</v>
      </c>
      <c r="E327" s="53">
        <v>70000</v>
      </c>
      <c r="F327" s="53">
        <v>90000</v>
      </c>
    </row>
    <row r="328" spans="1:6" x14ac:dyDescent="0.25">
      <c r="A328" s="1">
        <v>6642</v>
      </c>
      <c r="B328" t="s">
        <v>495</v>
      </c>
      <c r="C328" t="s">
        <v>301</v>
      </c>
      <c r="D328" t="s">
        <v>235</v>
      </c>
      <c r="E328" s="53">
        <v>45000</v>
      </c>
      <c r="F328" s="53">
        <v>60000</v>
      </c>
    </row>
    <row r="329" spans="1:6" x14ac:dyDescent="0.25">
      <c r="A329" s="1">
        <v>9604</v>
      </c>
      <c r="B329" t="s">
        <v>496</v>
      </c>
      <c r="C329" t="s">
        <v>301</v>
      </c>
      <c r="D329" t="s">
        <v>235</v>
      </c>
      <c r="E329" s="53">
        <v>80000</v>
      </c>
      <c r="F329" s="53">
        <v>105000</v>
      </c>
    </row>
    <row r="330" spans="1:6" x14ac:dyDescent="0.25">
      <c r="A330" s="1">
        <v>8292</v>
      </c>
      <c r="B330" t="s">
        <v>497</v>
      </c>
      <c r="C330" t="s">
        <v>301</v>
      </c>
      <c r="D330" t="s">
        <v>235</v>
      </c>
      <c r="E330" s="53">
        <v>75000</v>
      </c>
      <c r="F330" s="53">
        <v>95000</v>
      </c>
    </row>
    <row r="331" spans="1:6" x14ac:dyDescent="0.25">
      <c r="A331" s="1">
        <v>2694</v>
      </c>
      <c r="B331" t="s">
        <v>498</v>
      </c>
      <c r="C331" t="s">
        <v>301</v>
      </c>
      <c r="D331" t="s">
        <v>235</v>
      </c>
      <c r="E331" s="53">
        <v>50000</v>
      </c>
      <c r="F331" s="53">
        <v>65000</v>
      </c>
    </row>
    <row r="332" spans="1:6" x14ac:dyDescent="0.25">
      <c r="A332" s="1">
        <v>2544</v>
      </c>
      <c r="B332" t="s">
        <v>499</v>
      </c>
      <c r="C332" t="s">
        <v>301</v>
      </c>
      <c r="D332" t="s">
        <v>235</v>
      </c>
      <c r="E332" s="53">
        <v>85000</v>
      </c>
      <c r="F332" s="53">
        <v>110000</v>
      </c>
    </row>
    <row r="333" spans="1:6" x14ac:dyDescent="0.25">
      <c r="A333" s="1">
        <v>3794</v>
      </c>
      <c r="B333" t="s">
        <v>500</v>
      </c>
      <c r="C333" t="s">
        <v>301</v>
      </c>
      <c r="D333" t="s">
        <v>235</v>
      </c>
      <c r="E333" s="53">
        <v>90000</v>
      </c>
      <c r="F333" s="53">
        <v>115000</v>
      </c>
    </row>
    <row r="334" spans="1:6" x14ac:dyDescent="0.25">
      <c r="A334" s="1">
        <v>6442</v>
      </c>
      <c r="B334" t="s">
        <v>501</v>
      </c>
      <c r="C334" t="s">
        <v>301</v>
      </c>
      <c r="D334" t="s">
        <v>235</v>
      </c>
      <c r="E334" s="53">
        <v>48000</v>
      </c>
      <c r="F334" s="53">
        <v>62000</v>
      </c>
    </row>
    <row r="335" spans="1:6" x14ac:dyDescent="0.25">
      <c r="A335" s="1">
        <v>4970</v>
      </c>
      <c r="B335" t="s">
        <v>502</v>
      </c>
      <c r="C335" t="s">
        <v>301</v>
      </c>
      <c r="D335" t="s">
        <v>235</v>
      </c>
      <c r="E335" s="53">
        <v>82000</v>
      </c>
      <c r="F335" s="53">
        <v>107000</v>
      </c>
    </row>
    <row r="336" spans="1:6" x14ac:dyDescent="0.25">
      <c r="A336" s="1">
        <v>7478</v>
      </c>
      <c r="B336" t="s">
        <v>503</v>
      </c>
      <c r="C336" t="s">
        <v>301</v>
      </c>
      <c r="D336" t="s">
        <v>236</v>
      </c>
      <c r="E336" s="53">
        <v>120000</v>
      </c>
      <c r="F336" s="53">
        <v>150000</v>
      </c>
    </row>
    <row r="337" spans="1:6" x14ac:dyDescent="0.25">
      <c r="A337" s="1">
        <v>9005</v>
      </c>
      <c r="B337" t="s">
        <v>504</v>
      </c>
      <c r="C337" t="s">
        <v>301</v>
      </c>
      <c r="D337" t="s">
        <v>236</v>
      </c>
      <c r="E337" s="53">
        <v>90000</v>
      </c>
      <c r="F337" s="53">
        <v>120000</v>
      </c>
    </row>
    <row r="338" spans="1:6" x14ac:dyDescent="0.25">
      <c r="A338" s="1">
        <v>6406</v>
      </c>
      <c r="B338" t="s">
        <v>505</v>
      </c>
      <c r="C338" t="s">
        <v>301</v>
      </c>
      <c r="D338" t="s">
        <v>236</v>
      </c>
      <c r="E338" s="53">
        <v>85000</v>
      </c>
      <c r="F338" s="53">
        <v>115000</v>
      </c>
    </row>
    <row r="339" spans="1:6" x14ac:dyDescent="0.25">
      <c r="A339" s="1">
        <v>9606</v>
      </c>
      <c r="B339" t="s">
        <v>506</v>
      </c>
      <c r="C339" t="s">
        <v>301</v>
      </c>
      <c r="D339" t="s">
        <v>236</v>
      </c>
      <c r="E339" s="53">
        <v>100000</v>
      </c>
      <c r="F339" s="53">
        <v>130000</v>
      </c>
    </row>
    <row r="340" spans="1:6" x14ac:dyDescent="0.25">
      <c r="A340" s="1">
        <v>8559</v>
      </c>
      <c r="B340" t="s">
        <v>507</v>
      </c>
      <c r="C340" t="s">
        <v>301</v>
      </c>
      <c r="D340" t="s">
        <v>236</v>
      </c>
      <c r="E340" s="53">
        <v>80000</v>
      </c>
      <c r="F340" s="53">
        <v>105000</v>
      </c>
    </row>
    <row r="341" spans="1:6" x14ac:dyDescent="0.25">
      <c r="A341" s="1">
        <v>4561</v>
      </c>
      <c r="B341" t="s">
        <v>508</v>
      </c>
      <c r="C341" t="s">
        <v>301</v>
      </c>
      <c r="D341" t="s">
        <v>236</v>
      </c>
      <c r="E341" s="53">
        <v>95000</v>
      </c>
      <c r="F341" s="53">
        <v>125000</v>
      </c>
    </row>
    <row r="342" spans="1:6" x14ac:dyDescent="0.25">
      <c r="A342" s="1">
        <v>4085</v>
      </c>
      <c r="B342" t="s">
        <v>509</v>
      </c>
      <c r="C342" t="s">
        <v>301</v>
      </c>
      <c r="D342" t="s">
        <v>236</v>
      </c>
      <c r="E342" s="53">
        <v>110000</v>
      </c>
      <c r="F342" s="53">
        <v>140000</v>
      </c>
    </row>
    <row r="343" spans="1:6" x14ac:dyDescent="0.25">
      <c r="A343" s="1">
        <v>9552</v>
      </c>
      <c r="B343" t="s">
        <v>510</v>
      </c>
      <c r="C343" t="s">
        <v>301</v>
      </c>
      <c r="D343" t="s">
        <v>236</v>
      </c>
      <c r="E343" s="53">
        <v>105000</v>
      </c>
      <c r="F343" s="53">
        <v>135000</v>
      </c>
    </row>
    <row r="344" spans="1:6" x14ac:dyDescent="0.25">
      <c r="A344" s="1">
        <v>7451</v>
      </c>
      <c r="B344" t="s">
        <v>511</v>
      </c>
      <c r="C344" t="s">
        <v>301</v>
      </c>
      <c r="D344" t="s">
        <v>236</v>
      </c>
      <c r="E344" s="53">
        <v>85000</v>
      </c>
      <c r="F344" s="53">
        <v>110000</v>
      </c>
    </row>
    <row r="345" spans="1:6" x14ac:dyDescent="0.25">
      <c r="A345" s="1">
        <v>8304</v>
      </c>
      <c r="B345" t="s">
        <v>512</v>
      </c>
      <c r="C345" t="s">
        <v>301</v>
      </c>
      <c r="D345" t="s">
        <v>237</v>
      </c>
      <c r="E345" s="53">
        <v>20000</v>
      </c>
      <c r="F345" s="53">
        <v>30000</v>
      </c>
    </row>
    <row r="346" spans="1:6" x14ac:dyDescent="0.25">
      <c r="A346" s="1">
        <v>4876</v>
      </c>
      <c r="B346" t="s">
        <v>513</v>
      </c>
      <c r="C346" t="s">
        <v>301</v>
      </c>
      <c r="D346" t="s">
        <v>237</v>
      </c>
      <c r="E346" s="53">
        <v>18000</v>
      </c>
      <c r="F346" s="53">
        <v>25000</v>
      </c>
    </row>
    <row r="347" spans="1:6" x14ac:dyDescent="0.25">
      <c r="A347" s="1">
        <v>3113</v>
      </c>
      <c r="B347" t="s">
        <v>514</v>
      </c>
      <c r="C347" t="s">
        <v>301</v>
      </c>
      <c r="D347" t="s">
        <v>237</v>
      </c>
      <c r="E347" s="53">
        <v>22000</v>
      </c>
      <c r="F347" s="53">
        <v>28000</v>
      </c>
    </row>
    <row r="348" spans="1:6" x14ac:dyDescent="0.25">
      <c r="A348" s="1">
        <v>2971</v>
      </c>
      <c r="B348" t="s">
        <v>515</v>
      </c>
      <c r="C348" t="s">
        <v>301</v>
      </c>
      <c r="D348" t="s">
        <v>237</v>
      </c>
      <c r="E348" s="53">
        <v>21000</v>
      </c>
      <c r="F348" s="53">
        <v>27000</v>
      </c>
    </row>
    <row r="349" spans="1:6" x14ac:dyDescent="0.25">
      <c r="A349" s="1">
        <v>9388</v>
      </c>
      <c r="B349" t="s">
        <v>516</v>
      </c>
      <c r="C349" t="s">
        <v>301</v>
      </c>
      <c r="D349" t="s">
        <v>237</v>
      </c>
      <c r="E349" s="53">
        <v>19000</v>
      </c>
      <c r="F349" s="53">
        <v>26000</v>
      </c>
    </row>
    <row r="350" spans="1:6" x14ac:dyDescent="0.25">
      <c r="A350" s="1">
        <v>9293</v>
      </c>
      <c r="B350" t="s">
        <v>517</v>
      </c>
      <c r="C350" t="s">
        <v>301</v>
      </c>
      <c r="D350" t="s">
        <v>237</v>
      </c>
      <c r="E350" s="53">
        <v>23000</v>
      </c>
      <c r="F350" s="53">
        <v>31000</v>
      </c>
    </row>
    <row r="351" spans="1:6" x14ac:dyDescent="0.25">
      <c r="A351" s="1">
        <v>3332</v>
      </c>
      <c r="B351" t="s">
        <v>518</v>
      </c>
      <c r="C351" t="s">
        <v>301</v>
      </c>
      <c r="D351" t="s">
        <v>237</v>
      </c>
      <c r="E351" s="53">
        <v>20500</v>
      </c>
      <c r="F351" s="53">
        <v>29000</v>
      </c>
    </row>
    <row r="352" spans="1:6" x14ac:dyDescent="0.25">
      <c r="A352" s="1">
        <v>3520</v>
      </c>
      <c r="B352" t="s">
        <v>519</v>
      </c>
      <c r="C352" t="s">
        <v>301</v>
      </c>
      <c r="D352" t="s">
        <v>237</v>
      </c>
      <c r="E352" s="53">
        <v>21500</v>
      </c>
      <c r="F352" s="53">
        <v>30000</v>
      </c>
    </row>
    <row r="353" spans="1:6" x14ac:dyDescent="0.25">
      <c r="A353" s="1">
        <v>1669</v>
      </c>
      <c r="B353" t="s">
        <v>520</v>
      </c>
      <c r="C353" t="s">
        <v>301</v>
      </c>
      <c r="D353" t="s">
        <v>237</v>
      </c>
      <c r="E353" s="53">
        <v>24000</v>
      </c>
      <c r="F353" s="53">
        <v>32000</v>
      </c>
    </row>
    <row r="354" spans="1:6" x14ac:dyDescent="0.25">
      <c r="A354" s="1">
        <v>7653</v>
      </c>
      <c r="B354" t="s">
        <v>521</v>
      </c>
      <c r="C354" t="s">
        <v>301</v>
      </c>
      <c r="D354" t="s">
        <v>238</v>
      </c>
      <c r="E354" s="53">
        <v>30000</v>
      </c>
      <c r="F354" s="53">
        <v>40000</v>
      </c>
    </row>
    <row r="355" spans="1:6" x14ac:dyDescent="0.25">
      <c r="A355" s="1">
        <v>5488</v>
      </c>
      <c r="B355" t="s">
        <v>522</v>
      </c>
      <c r="C355" t="s">
        <v>301</v>
      </c>
      <c r="D355" t="s">
        <v>238</v>
      </c>
      <c r="E355" s="53">
        <v>35000</v>
      </c>
      <c r="F355" s="53">
        <v>45000</v>
      </c>
    </row>
    <row r="356" spans="1:6" x14ac:dyDescent="0.25">
      <c r="A356" s="1">
        <v>9750</v>
      </c>
      <c r="B356" t="s">
        <v>523</v>
      </c>
      <c r="C356" t="s">
        <v>301</v>
      </c>
      <c r="D356" t="s">
        <v>238</v>
      </c>
      <c r="E356" s="53">
        <v>25000</v>
      </c>
      <c r="F356" s="53">
        <v>35000</v>
      </c>
    </row>
    <row r="357" spans="1:6" x14ac:dyDescent="0.25">
      <c r="A357" s="1">
        <v>8442</v>
      </c>
      <c r="B357" t="s">
        <v>524</v>
      </c>
      <c r="C357" t="s">
        <v>301</v>
      </c>
      <c r="D357" t="s">
        <v>238</v>
      </c>
      <c r="E357" s="53">
        <v>28000</v>
      </c>
      <c r="F357" s="53">
        <v>38000</v>
      </c>
    </row>
    <row r="358" spans="1:6" x14ac:dyDescent="0.25">
      <c r="A358" s="1">
        <v>5320</v>
      </c>
      <c r="B358" t="s">
        <v>525</v>
      </c>
      <c r="C358" t="s">
        <v>301</v>
      </c>
      <c r="D358" t="s">
        <v>238</v>
      </c>
      <c r="E358" s="53">
        <v>32000</v>
      </c>
      <c r="F358" s="53">
        <v>42000</v>
      </c>
    </row>
    <row r="359" spans="1:6" x14ac:dyDescent="0.25">
      <c r="A359" s="1">
        <v>1022</v>
      </c>
      <c r="B359" t="s">
        <v>526</v>
      </c>
      <c r="C359" t="s">
        <v>301</v>
      </c>
      <c r="D359" t="s">
        <v>238</v>
      </c>
      <c r="E359" s="53">
        <v>33000</v>
      </c>
      <c r="F359" s="53">
        <v>43000</v>
      </c>
    </row>
    <row r="360" spans="1:6" x14ac:dyDescent="0.25">
      <c r="A360" s="1">
        <v>1543</v>
      </c>
      <c r="B360" t="s">
        <v>527</v>
      </c>
      <c r="C360" t="s">
        <v>301</v>
      </c>
      <c r="D360" t="s">
        <v>238</v>
      </c>
      <c r="E360" s="53">
        <v>37000</v>
      </c>
      <c r="F360" s="53">
        <v>47000</v>
      </c>
    </row>
    <row r="361" spans="1:6" x14ac:dyDescent="0.25">
      <c r="A361" s="1">
        <v>8665</v>
      </c>
      <c r="B361" t="s">
        <v>528</v>
      </c>
      <c r="C361" t="s">
        <v>301</v>
      </c>
      <c r="D361" t="s">
        <v>238</v>
      </c>
      <c r="E361" s="53">
        <v>26000</v>
      </c>
      <c r="F361" s="53">
        <v>36000</v>
      </c>
    </row>
    <row r="362" spans="1:6" x14ac:dyDescent="0.25">
      <c r="A362" s="1">
        <v>7975</v>
      </c>
      <c r="B362" t="s">
        <v>529</v>
      </c>
      <c r="C362" t="s">
        <v>301</v>
      </c>
      <c r="D362" t="s">
        <v>238</v>
      </c>
      <c r="E362" s="53">
        <v>29000</v>
      </c>
      <c r="F362" s="53">
        <v>39000</v>
      </c>
    </row>
    <row r="363" spans="1:6" x14ac:dyDescent="0.25">
      <c r="A363" s="1">
        <v>9600</v>
      </c>
      <c r="B363" t="s">
        <v>530</v>
      </c>
      <c r="C363" t="s">
        <v>301</v>
      </c>
      <c r="D363" t="s">
        <v>239</v>
      </c>
      <c r="E363" s="53">
        <v>45000</v>
      </c>
      <c r="F363" s="53">
        <v>60000</v>
      </c>
    </row>
    <row r="364" spans="1:6" x14ac:dyDescent="0.25">
      <c r="A364" s="1">
        <v>8151</v>
      </c>
      <c r="B364" t="s">
        <v>531</v>
      </c>
      <c r="C364" t="s">
        <v>301</v>
      </c>
      <c r="D364" t="s">
        <v>239</v>
      </c>
      <c r="E364" s="53">
        <v>40000</v>
      </c>
      <c r="F364" s="53">
        <v>55000</v>
      </c>
    </row>
    <row r="365" spans="1:6" x14ac:dyDescent="0.25">
      <c r="A365" s="1">
        <v>7045</v>
      </c>
      <c r="B365" t="s">
        <v>532</v>
      </c>
      <c r="C365" t="s">
        <v>301</v>
      </c>
      <c r="D365" t="s">
        <v>239</v>
      </c>
      <c r="E365" s="53">
        <v>50000</v>
      </c>
      <c r="F365" s="53">
        <v>70000</v>
      </c>
    </row>
    <row r="366" spans="1:6" x14ac:dyDescent="0.25">
      <c r="A366" s="1">
        <v>8457</v>
      </c>
      <c r="B366" t="s">
        <v>533</v>
      </c>
      <c r="C366" t="s">
        <v>301</v>
      </c>
      <c r="D366" t="s">
        <v>239</v>
      </c>
      <c r="E366" s="53">
        <v>35000</v>
      </c>
      <c r="F366" s="53">
        <v>50000</v>
      </c>
    </row>
    <row r="367" spans="1:6" x14ac:dyDescent="0.25">
      <c r="A367" s="1">
        <v>8154</v>
      </c>
      <c r="B367" t="s">
        <v>534</v>
      </c>
      <c r="C367" t="s">
        <v>301</v>
      </c>
      <c r="D367" t="s">
        <v>239</v>
      </c>
      <c r="E367" s="53">
        <v>42000</v>
      </c>
      <c r="F367" s="53">
        <v>58000</v>
      </c>
    </row>
    <row r="368" spans="1:6" x14ac:dyDescent="0.25">
      <c r="A368" s="1">
        <v>1246</v>
      </c>
      <c r="B368" t="s">
        <v>535</v>
      </c>
      <c r="C368" t="s">
        <v>301</v>
      </c>
      <c r="D368" t="s">
        <v>239</v>
      </c>
      <c r="E368" s="53">
        <v>38000</v>
      </c>
      <c r="F368" s="53">
        <v>53000</v>
      </c>
    </row>
    <row r="369" spans="1:6" x14ac:dyDescent="0.25">
      <c r="A369" s="1">
        <v>3590</v>
      </c>
      <c r="B369" t="s">
        <v>536</v>
      </c>
      <c r="C369" t="s">
        <v>301</v>
      </c>
      <c r="D369" t="s">
        <v>239</v>
      </c>
      <c r="E369" s="53">
        <v>32000</v>
      </c>
      <c r="F369" s="53">
        <v>45000</v>
      </c>
    </row>
    <row r="370" spans="1:6" x14ac:dyDescent="0.25">
      <c r="A370" s="1">
        <v>3781</v>
      </c>
      <c r="B370" t="s">
        <v>537</v>
      </c>
      <c r="C370" t="s">
        <v>301</v>
      </c>
      <c r="D370" t="s">
        <v>239</v>
      </c>
      <c r="E370" s="53">
        <v>48000</v>
      </c>
      <c r="F370" s="53">
        <v>65000</v>
      </c>
    </row>
    <row r="371" spans="1:6" x14ac:dyDescent="0.25">
      <c r="A371" s="1">
        <v>9260</v>
      </c>
      <c r="B371" t="s">
        <v>538</v>
      </c>
      <c r="C371" t="s">
        <v>301</v>
      </c>
      <c r="D371" t="s">
        <v>239</v>
      </c>
      <c r="E371" s="53">
        <v>46000</v>
      </c>
      <c r="F371" s="53">
        <v>63000</v>
      </c>
    </row>
    <row r="372" spans="1:6" x14ac:dyDescent="0.25">
      <c r="A372" s="1">
        <v>9434</v>
      </c>
      <c r="B372" t="s">
        <v>539</v>
      </c>
      <c r="C372" t="s">
        <v>301</v>
      </c>
      <c r="D372" t="s">
        <v>240</v>
      </c>
      <c r="E372" s="53">
        <v>25000</v>
      </c>
      <c r="F372" s="53">
        <v>35000</v>
      </c>
    </row>
    <row r="373" spans="1:6" x14ac:dyDescent="0.25">
      <c r="A373" s="1">
        <v>4991</v>
      </c>
      <c r="B373" t="s">
        <v>540</v>
      </c>
      <c r="C373" t="s">
        <v>301</v>
      </c>
      <c r="D373" t="s">
        <v>240</v>
      </c>
      <c r="E373" s="53">
        <v>22000</v>
      </c>
      <c r="F373" s="53">
        <v>30000</v>
      </c>
    </row>
    <row r="374" spans="1:6" x14ac:dyDescent="0.25">
      <c r="A374" s="1">
        <v>9383</v>
      </c>
      <c r="B374" t="s">
        <v>541</v>
      </c>
      <c r="C374" t="s">
        <v>301</v>
      </c>
      <c r="D374" t="s">
        <v>240</v>
      </c>
      <c r="E374" s="53">
        <v>20000</v>
      </c>
      <c r="F374" s="53">
        <v>28000</v>
      </c>
    </row>
    <row r="375" spans="1:6" x14ac:dyDescent="0.25">
      <c r="A375" s="1">
        <v>2654</v>
      </c>
      <c r="B375" t="s">
        <v>542</v>
      </c>
      <c r="C375" t="s">
        <v>301</v>
      </c>
      <c r="D375" t="s">
        <v>240</v>
      </c>
      <c r="E375" s="53">
        <v>24000</v>
      </c>
      <c r="F375" s="53">
        <v>32000</v>
      </c>
    </row>
    <row r="376" spans="1:6" x14ac:dyDescent="0.25">
      <c r="A376" s="1">
        <v>6213</v>
      </c>
      <c r="B376" t="s">
        <v>543</v>
      </c>
      <c r="C376" t="s">
        <v>301</v>
      </c>
      <c r="D376" t="s">
        <v>240</v>
      </c>
      <c r="E376" s="53">
        <v>26000</v>
      </c>
      <c r="F376" s="53">
        <v>34000</v>
      </c>
    </row>
    <row r="377" spans="1:6" x14ac:dyDescent="0.25">
      <c r="A377" s="1">
        <v>4402</v>
      </c>
      <c r="B377" t="s">
        <v>544</v>
      </c>
      <c r="C377" t="s">
        <v>301</v>
      </c>
      <c r="D377" t="s">
        <v>240</v>
      </c>
      <c r="E377" s="53">
        <v>27000</v>
      </c>
      <c r="F377" s="53">
        <v>36000</v>
      </c>
    </row>
    <row r="378" spans="1:6" x14ac:dyDescent="0.25">
      <c r="A378" s="1">
        <v>5962</v>
      </c>
      <c r="B378" t="s">
        <v>545</v>
      </c>
      <c r="C378" t="s">
        <v>301</v>
      </c>
      <c r="D378" t="s">
        <v>240</v>
      </c>
      <c r="E378" s="53">
        <v>23000</v>
      </c>
      <c r="F378" s="53">
        <v>31000</v>
      </c>
    </row>
    <row r="379" spans="1:6" x14ac:dyDescent="0.25">
      <c r="A379" s="1">
        <v>8818</v>
      </c>
      <c r="B379" t="s">
        <v>546</v>
      </c>
      <c r="C379" t="s">
        <v>301</v>
      </c>
      <c r="D379" t="s">
        <v>240</v>
      </c>
      <c r="E379" s="53">
        <v>25500</v>
      </c>
      <c r="F379" s="53">
        <v>34500</v>
      </c>
    </row>
    <row r="380" spans="1:6" x14ac:dyDescent="0.25">
      <c r="A380" s="1">
        <v>2762</v>
      </c>
      <c r="B380" t="s">
        <v>547</v>
      </c>
      <c r="C380" t="s">
        <v>301</v>
      </c>
      <c r="D380" t="s">
        <v>240</v>
      </c>
      <c r="E380" s="53">
        <v>22500</v>
      </c>
      <c r="F380" s="53">
        <v>31500</v>
      </c>
    </row>
    <row r="381" spans="1:6" x14ac:dyDescent="0.25">
      <c r="A381" s="1">
        <v>6667</v>
      </c>
      <c r="B381" t="s">
        <v>548</v>
      </c>
      <c r="C381" t="s">
        <v>301</v>
      </c>
      <c r="D381" t="s">
        <v>241</v>
      </c>
      <c r="E381" s="53">
        <v>15000</v>
      </c>
      <c r="F381" s="53">
        <v>22000</v>
      </c>
    </row>
    <row r="382" spans="1:6" x14ac:dyDescent="0.25">
      <c r="A382" s="1">
        <v>7154</v>
      </c>
      <c r="B382" t="s">
        <v>549</v>
      </c>
      <c r="C382" t="s">
        <v>301</v>
      </c>
      <c r="D382" t="s">
        <v>241</v>
      </c>
      <c r="E382" s="53">
        <v>18000</v>
      </c>
      <c r="F382" s="53">
        <v>25000</v>
      </c>
    </row>
    <row r="383" spans="1:6" x14ac:dyDescent="0.25">
      <c r="A383" s="1">
        <v>2953</v>
      </c>
      <c r="B383" t="s">
        <v>550</v>
      </c>
      <c r="C383" t="s">
        <v>301</v>
      </c>
      <c r="D383" t="s">
        <v>241</v>
      </c>
      <c r="E383" s="53">
        <v>16500</v>
      </c>
      <c r="F383" s="53">
        <v>23500</v>
      </c>
    </row>
    <row r="384" spans="1:6" x14ac:dyDescent="0.25">
      <c r="A384" s="1">
        <v>9881</v>
      </c>
      <c r="B384" t="s">
        <v>551</v>
      </c>
      <c r="C384" t="s">
        <v>301</v>
      </c>
      <c r="D384" t="s">
        <v>241</v>
      </c>
      <c r="E384" s="53">
        <v>17000</v>
      </c>
      <c r="F384" s="53">
        <v>24000</v>
      </c>
    </row>
    <row r="385" spans="1:6" x14ac:dyDescent="0.25">
      <c r="A385" s="1">
        <v>1962</v>
      </c>
      <c r="B385" t="s">
        <v>552</v>
      </c>
      <c r="C385" t="s">
        <v>301</v>
      </c>
      <c r="D385" t="s">
        <v>241</v>
      </c>
      <c r="E385" s="53">
        <v>14500</v>
      </c>
      <c r="F385" s="53">
        <v>21500</v>
      </c>
    </row>
    <row r="386" spans="1:6" x14ac:dyDescent="0.25">
      <c r="A386" s="1">
        <v>6903</v>
      </c>
      <c r="B386" t="s">
        <v>553</v>
      </c>
      <c r="C386" t="s">
        <v>301</v>
      </c>
      <c r="D386" t="s">
        <v>241</v>
      </c>
      <c r="E386" s="53">
        <v>19000</v>
      </c>
      <c r="F386" s="53">
        <v>26000</v>
      </c>
    </row>
    <row r="387" spans="1:6" x14ac:dyDescent="0.25">
      <c r="A387" s="1">
        <v>8482</v>
      </c>
      <c r="B387" t="s">
        <v>554</v>
      </c>
      <c r="C387" t="s">
        <v>301</v>
      </c>
      <c r="D387" t="s">
        <v>241</v>
      </c>
      <c r="E387" s="53">
        <v>15500</v>
      </c>
      <c r="F387" s="53">
        <v>22500</v>
      </c>
    </row>
    <row r="388" spans="1:6" x14ac:dyDescent="0.25">
      <c r="A388" s="1">
        <v>9172</v>
      </c>
      <c r="B388" t="s">
        <v>555</v>
      </c>
      <c r="C388" t="s">
        <v>301</v>
      </c>
      <c r="D388" t="s">
        <v>241</v>
      </c>
      <c r="E388" s="53">
        <v>16000</v>
      </c>
      <c r="F388" s="53">
        <v>23000</v>
      </c>
    </row>
    <row r="389" spans="1:6" x14ac:dyDescent="0.25">
      <c r="A389" s="1">
        <v>1518</v>
      </c>
      <c r="B389" t="s">
        <v>556</v>
      </c>
      <c r="C389" t="s">
        <v>301</v>
      </c>
      <c r="D389" t="s">
        <v>241</v>
      </c>
      <c r="E389" s="53">
        <v>17500</v>
      </c>
      <c r="F389" s="53">
        <v>24500</v>
      </c>
    </row>
    <row r="390" spans="1:6" x14ac:dyDescent="0.25">
      <c r="A390" s="1">
        <v>7998</v>
      </c>
      <c r="B390" t="s">
        <v>557</v>
      </c>
      <c r="C390" t="s">
        <v>301</v>
      </c>
      <c r="D390" t="s">
        <v>242</v>
      </c>
      <c r="E390" s="53">
        <v>30000</v>
      </c>
      <c r="F390" s="53">
        <v>40000</v>
      </c>
    </row>
    <row r="391" spans="1:6" x14ac:dyDescent="0.25">
      <c r="A391" s="1">
        <v>8434</v>
      </c>
      <c r="B391" t="s">
        <v>558</v>
      </c>
      <c r="C391" t="s">
        <v>301</v>
      </c>
      <c r="D391" t="s">
        <v>242</v>
      </c>
      <c r="E391" s="53">
        <v>28000</v>
      </c>
      <c r="F391" s="53">
        <v>38000</v>
      </c>
    </row>
    <row r="392" spans="1:6" x14ac:dyDescent="0.25">
      <c r="A392" s="1">
        <v>9263</v>
      </c>
      <c r="B392" t="s">
        <v>559</v>
      </c>
      <c r="C392" t="s">
        <v>301</v>
      </c>
      <c r="D392" t="s">
        <v>242</v>
      </c>
      <c r="E392" s="53">
        <v>35000</v>
      </c>
      <c r="F392" s="53">
        <v>45000</v>
      </c>
    </row>
    <row r="393" spans="1:6" x14ac:dyDescent="0.25">
      <c r="A393" s="1">
        <v>6977</v>
      </c>
      <c r="B393" t="s">
        <v>560</v>
      </c>
      <c r="C393" t="s">
        <v>301</v>
      </c>
      <c r="D393" t="s">
        <v>242</v>
      </c>
      <c r="E393" s="53">
        <v>25000</v>
      </c>
      <c r="F393" s="53">
        <v>33000</v>
      </c>
    </row>
    <row r="394" spans="1:6" x14ac:dyDescent="0.25">
      <c r="A394" s="1">
        <v>7744</v>
      </c>
      <c r="B394" t="s">
        <v>561</v>
      </c>
      <c r="C394" t="s">
        <v>301</v>
      </c>
      <c r="D394" t="s">
        <v>242</v>
      </c>
      <c r="E394" s="53">
        <v>32000</v>
      </c>
      <c r="F394" s="53">
        <v>42000</v>
      </c>
    </row>
    <row r="395" spans="1:6" x14ac:dyDescent="0.25">
      <c r="A395" s="1">
        <v>8909</v>
      </c>
      <c r="B395" t="s">
        <v>562</v>
      </c>
      <c r="C395" t="s">
        <v>301</v>
      </c>
      <c r="D395" t="s">
        <v>242</v>
      </c>
      <c r="E395" s="53">
        <v>27000</v>
      </c>
      <c r="F395" s="53">
        <v>37000</v>
      </c>
    </row>
    <row r="396" spans="1:6" x14ac:dyDescent="0.25">
      <c r="A396" s="1">
        <v>3339</v>
      </c>
      <c r="B396" t="s">
        <v>563</v>
      </c>
      <c r="C396" t="s">
        <v>301</v>
      </c>
      <c r="D396" t="s">
        <v>242</v>
      </c>
      <c r="E396" s="53">
        <v>33500</v>
      </c>
      <c r="F396" s="53">
        <v>43500</v>
      </c>
    </row>
    <row r="397" spans="1:6" x14ac:dyDescent="0.25">
      <c r="A397" s="1">
        <v>5255</v>
      </c>
      <c r="B397" t="s">
        <v>564</v>
      </c>
      <c r="C397" t="s">
        <v>301</v>
      </c>
      <c r="D397" t="s">
        <v>242</v>
      </c>
      <c r="E397" s="53">
        <v>40000</v>
      </c>
      <c r="F397" s="53">
        <v>50000</v>
      </c>
    </row>
    <row r="398" spans="1:6" x14ac:dyDescent="0.25">
      <c r="A398" s="1">
        <v>6679</v>
      </c>
      <c r="B398" t="s">
        <v>565</v>
      </c>
      <c r="C398" t="s">
        <v>301</v>
      </c>
      <c r="D398" t="s">
        <v>242</v>
      </c>
      <c r="E398" s="53">
        <v>38000</v>
      </c>
      <c r="F398" s="53">
        <v>48000</v>
      </c>
    </row>
    <row r="399" spans="1:6" x14ac:dyDescent="0.25">
      <c r="A399" s="1">
        <v>7688</v>
      </c>
      <c r="B399" t="s">
        <v>566</v>
      </c>
      <c r="C399" t="s">
        <v>301</v>
      </c>
      <c r="D399" t="s">
        <v>243</v>
      </c>
      <c r="E399" s="53">
        <v>45000</v>
      </c>
      <c r="F399" s="53">
        <v>60000</v>
      </c>
    </row>
    <row r="400" spans="1:6" x14ac:dyDescent="0.25">
      <c r="A400" s="1">
        <v>6994</v>
      </c>
      <c r="B400" t="s">
        <v>567</v>
      </c>
      <c r="C400" t="s">
        <v>301</v>
      </c>
      <c r="D400" t="s">
        <v>243</v>
      </c>
      <c r="E400" s="53">
        <v>40000</v>
      </c>
      <c r="F400" s="53">
        <v>55000</v>
      </c>
    </row>
    <row r="401" spans="1:6" x14ac:dyDescent="0.25">
      <c r="A401" s="1">
        <v>7016</v>
      </c>
      <c r="B401" t="s">
        <v>568</v>
      </c>
      <c r="C401" t="s">
        <v>301</v>
      </c>
      <c r="D401" t="s">
        <v>243</v>
      </c>
      <c r="E401" s="53">
        <v>38000</v>
      </c>
      <c r="F401" s="53">
        <v>52000</v>
      </c>
    </row>
    <row r="402" spans="1:6" x14ac:dyDescent="0.25">
      <c r="A402" s="1">
        <v>3391</v>
      </c>
      <c r="B402" t="s">
        <v>569</v>
      </c>
      <c r="C402" t="s">
        <v>301</v>
      </c>
      <c r="D402" t="s">
        <v>243</v>
      </c>
      <c r="E402" s="53">
        <v>50000</v>
      </c>
      <c r="F402" s="53">
        <v>68000</v>
      </c>
    </row>
    <row r="403" spans="1:6" x14ac:dyDescent="0.25">
      <c r="A403" s="1">
        <v>9264</v>
      </c>
      <c r="B403" t="s">
        <v>570</v>
      </c>
      <c r="C403" t="s">
        <v>301</v>
      </c>
      <c r="D403" t="s">
        <v>243</v>
      </c>
      <c r="E403" s="53">
        <v>48000</v>
      </c>
      <c r="F403" s="53">
        <v>65000</v>
      </c>
    </row>
    <row r="404" spans="1:6" x14ac:dyDescent="0.25">
      <c r="A404" s="1">
        <v>3190</v>
      </c>
      <c r="B404" t="s">
        <v>571</v>
      </c>
      <c r="C404" t="s">
        <v>301</v>
      </c>
      <c r="D404" t="s">
        <v>243</v>
      </c>
      <c r="E404" s="53">
        <v>42000</v>
      </c>
      <c r="F404" s="53">
        <v>58000</v>
      </c>
    </row>
    <row r="405" spans="1:6" x14ac:dyDescent="0.25">
      <c r="A405" s="1">
        <v>1926</v>
      </c>
      <c r="B405" t="s">
        <v>572</v>
      </c>
      <c r="C405" t="s">
        <v>301</v>
      </c>
      <c r="D405" t="s">
        <v>243</v>
      </c>
      <c r="E405" s="53">
        <v>52000</v>
      </c>
      <c r="F405" s="53">
        <v>70000</v>
      </c>
    </row>
    <row r="406" spans="1:6" x14ac:dyDescent="0.25">
      <c r="A406" s="1">
        <v>1696</v>
      </c>
      <c r="B406" t="s">
        <v>573</v>
      </c>
      <c r="C406" t="s">
        <v>301</v>
      </c>
      <c r="D406" t="s">
        <v>243</v>
      </c>
      <c r="E406" s="53">
        <v>46000</v>
      </c>
      <c r="F406" s="53">
        <v>62000</v>
      </c>
    </row>
    <row r="407" spans="1:6" x14ac:dyDescent="0.25">
      <c r="A407" s="1">
        <v>9531</v>
      </c>
      <c r="B407" t="s">
        <v>574</v>
      </c>
      <c r="C407" t="s">
        <v>301</v>
      </c>
      <c r="D407" t="s">
        <v>243</v>
      </c>
      <c r="E407" s="53">
        <v>55000</v>
      </c>
      <c r="F407" s="53">
        <v>74000</v>
      </c>
    </row>
    <row r="408" spans="1:6" x14ac:dyDescent="0.25">
      <c r="A408" s="1">
        <v>5148</v>
      </c>
      <c r="B408" t="s">
        <v>575</v>
      </c>
      <c r="C408" t="s">
        <v>301</v>
      </c>
      <c r="D408" t="s">
        <v>244</v>
      </c>
      <c r="E408" s="53">
        <v>55000</v>
      </c>
      <c r="F408" s="53">
        <v>75000</v>
      </c>
    </row>
    <row r="409" spans="1:6" x14ac:dyDescent="0.25">
      <c r="A409" s="1">
        <v>7415</v>
      </c>
      <c r="B409" t="s">
        <v>576</v>
      </c>
      <c r="C409" t="s">
        <v>301</v>
      </c>
      <c r="D409" t="s">
        <v>244</v>
      </c>
      <c r="E409" s="53">
        <v>50000</v>
      </c>
      <c r="F409" s="53">
        <v>68000</v>
      </c>
    </row>
    <row r="410" spans="1:6" x14ac:dyDescent="0.25">
      <c r="A410" s="1">
        <v>6035</v>
      </c>
      <c r="B410" t="s">
        <v>577</v>
      </c>
      <c r="C410" t="s">
        <v>301</v>
      </c>
      <c r="D410" t="s">
        <v>244</v>
      </c>
      <c r="E410" s="53">
        <v>45000</v>
      </c>
      <c r="F410" s="53">
        <v>62000</v>
      </c>
    </row>
    <row r="411" spans="1:6" x14ac:dyDescent="0.25">
      <c r="A411" s="1">
        <v>4667</v>
      </c>
      <c r="B411" t="s">
        <v>578</v>
      </c>
      <c r="C411" t="s">
        <v>301</v>
      </c>
      <c r="D411" t="s">
        <v>244</v>
      </c>
      <c r="E411" s="53">
        <v>42000</v>
      </c>
      <c r="F411" s="53">
        <v>58000</v>
      </c>
    </row>
    <row r="412" spans="1:6" x14ac:dyDescent="0.25">
      <c r="A412" s="1">
        <v>9893</v>
      </c>
      <c r="B412" t="s">
        <v>579</v>
      </c>
      <c r="C412" t="s">
        <v>301</v>
      </c>
      <c r="D412" t="s">
        <v>244</v>
      </c>
      <c r="E412" s="53">
        <v>48000</v>
      </c>
      <c r="F412" s="53">
        <v>65000</v>
      </c>
    </row>
    <row r="413" spans="1:6" x14ac:dyDescent="0.25">
      <c r="A413" s="1">
        <v>3264</v>
      </c>
      <c r="B413" t="s">
        <v>580</v>
      </c>
      <c r="C413" t="s">
        <v>301</v>
      </c>
      <c r="D413" t="s">
        <v>244</v>
      </c>
      <c r="E413" s="53">
        <v>52000</v>
      </c>
      <c r="F413" s="53">
        <v>70000</v>
      </c>
    </row>
    <row r="414" spans="1:6" x14ac:dyDescent="0.25">
      <c r="A414" s="1">
        <v>3347</v>
      </c>
      <c r="B414" t="s">
        <v>581</v>
      </c>
      <c r="C414" t="s">
        <v>301</v>
      </c>
      <c r="D414" t="s">
        <v>244</v>
      </c>
      <c r="E414" s="53">
        <v>50000</v>
      </c>
      <c r="F414" s="53">
        <v>68000</v>
      </c>
    </row>
    <row r="415" spans="1:6" x14ac:dyDescent="0.25">
      <c r="A415" s="1">
        <v>5194</v>
      </c>
      <c r="B415" t="s">
        <v>582</v>
      </c>
      <c r="C415" t="s">
        <v>301</v>
      </c>
      <c r="D415" t="s">
        <v>244</v>
      </c>
      <c r="E415" s="53">
        <v>55000</v>
      </c>
      <c r="F415" s="53">
        <v>75000</v>
      </c>
    </row>
    <row r="416" spans="1:6" x14ac:dyDescent="0.25">
      <c r="A416" s="1">
        <v>8399</v>
      </c>
      <c r="B416" t="s">
        <v>583</v>
      </c>
      <c r="C416" t="s">
        <v>301</v>
      </c>
      <c r="D416" t="s">
        <v>244</v>
      </c>
      <c r="E416" s="53">
        <v>48000</v>
      </c>
      <c r="F416" s="53">
        <v>65000</v>
      </c>
    </row>
    <row r="417" spans="1:6" x14ac:dyDescent="0.25">
      <c r="A417" s="1">
        <v>4150</v>
      </c>
      <c r="B417" t="s">
        <v>584</v>
      </c>
      <c r="C417" t="s">
        <v>301</v>
      </c>
      <c r="D417" t="s">
        <v>245</v>
      </c>
      <c r="E417" s="53">
        <v>38000</v>
      </c>
      <c r="F417" s="53">
        <v>52000</v>
      </c>
    </row>
    <row r="418" spans="1:6" x14ac:dyDescent="0.25">
      <c r="A418" s="1">
        <v>9306</v>
      </c>
      <c r="B418" t="s">
        <v>585</v>
      </c>
      <c r="C418" t="s">
        <v>301</v>
      </c>
      <c r="D418" t="s">
        <v>245</v>
      </c>
      <c r="E418" s="53">
        <v>35000</v>
      </c>
      <c r="F418" s="53">
        <v>49000</v>
      </c>
    </row>
    <row r="419" spans="1:6" x14ac:dyDescent="0.25">
      <c r="A419" s="1">
        <v>5491</v>
      </c>
      <c r="B419" t="s">
        <v>586</v>
      </c>
      <c r="C419" t="s">
        <v>301</v>
      </c>
      <c r="D419" t="s">
        <v>245</v>
      </c>
      <c r="E419" s="53">
        <v>40000</v>
      </c>
      <c r="F419" s="53">
        <v>55000</v>
      </c>
    </row>
    <row r="420" spans="1:6" x14ac:dyDescent="0.25">
      <c r="A420" s="1">
        <v>1964</v>
      </c>
      <c r="B420" t="s">
        <v>587</v>
      </c>
      <c r="C420" t="s">
        <v>301</v>
      </c>
      <c r="D420" t="s">
        <v>245</v>
      </c>
      <c r="E420" s="53">
        <v>37000</v>
      </c>
      <c r="F420" s="53">
        <v>50000</v>
      </c>
    </row>
    <row r="421" spans="1:6" x14ac:dyDescent="0.25">
      <c r="A421" s="1">
        <v>7150</v>
      </c>
      <c r="B421" t="s">
        <v>588</v>
      </c>
      <c r="C421" t="s">
        <v>301</v>
      </c>
      <c r="D421" t="s">
        <v>245</v>
      </c>
      <c r="E421" s="53">
        <v>34000</v>
      </c>
      <c r="F421" s="53">
        <v>47000</v>
      </c>
    </row>
    <row r="422" spans="1:6" x14ac:dyDescent="0.25">
      <c r="A422" s="1">
        <v>5060</v>
      </c>
      <c r="B422" t="s">
        <v>589</v>
      </c>
      <c r="C422" t="s">
        <v>301</v>
      </c>
      <c r="D422" t="s">
        <v>245</v>
      </c>
      <c r="E422" s="53">
        <v>32000</v>
      </c>
      <c r="F422" s="53">
        <v>44000</v>
      </c>
    </row>
    <row r="423" spans="1:6" x14ac:dyDescent="0.25">
      <c r="A423" s="1">
        <v>3239</v>
      </c>
      <c r="B423" t="s">
        <v>590</v>
      </c>
      <c r="C423" t="s">
        <v>301</v>
      </c>
      <c r="D423" t="s">
        <v>245</v>
      </c>
      <c r="E423" s="53">
        <v>36000</v>
      </c>
      <c r="F423" s="53">
        <v>48000</v>
      </c>
    </row>
    <row r="424" spans="1:6" x14ac:dyDescent="0.25">
      <c r="A424" s="1">
        <v>2705</v>
      </c>
      <c r="B424" t="s">
        <v>591</v>
      </c>
      <c r="C424" t="s">
        <v>301</v>
      </c>
      <c r="D424" t="s">
        <v>245</v>
      </c>
      <c r="E424" s="53">
        <v>39000</v>
      </c>
      <c r="F424" s="53">
        <v>53000</v>
      </c>
    </row>
    <row r="425" spans="1:6" x14ac:dyDescent="0.25">
      <c r="A425" s="1">
        <v>1305</v>
      </c>
      <c r="B425" t="s">
        <v>592</v>
      </c>
      <c r="C425" t="s">
        <v>301</v>
      </c>
      <c r="D425" t="s">
        <v>245</v>
      </c>
      <c r="E425" s="53">
        <v>33000</v>
      </c>
      <c r="F425" s="53">
        <v>46000</v>
      </c>
    </row>
    <row r="426" spans="1:6" x14ac:dyDescent="0.25">
      <c r="A426" s="1">
        <v>4589</v>
      </c>
      <c r="B426" t="s">
        <v>593</v>
      </c>
      <c r="C426" t="s">
        <v>301</v>
      </c>
      <c r="D426" t="s">
        <v>246</v>
      </c>
      <c r="E426" s="53">
        <v>45000</v>
      </c>
      <c r="F426" s="53">
        <v>60000</v>
      </c>
    </row>
    <row r="427" spans="1:6" x14ac:dyDescent="0.25">
      <c r="A427" s="1">
        <v>2549</v>
      </c>
      <c r="B427" t="s">
        <v>594</v>
      </c>
      <c r="C427" t="s">
        <v>301</v>
      </c>
      <c r="D427" t="s">
        <v>246</v>
      </c>
      <c r="E427" s="53">
        <v>40000</v>
      </c>
      <c r="F427" s="53">
        <v>55000</v>
      </c>
    </row>
    <row r="428" spans="1:6" x14ac:dyDescent="0.25">
      <c r="A428" s="1">
        <v>4415</v>
      </c>
      <c r="B428" t="s">
        <v>595</v>
      </c>
      <c r="C428" t="s">
        <v>301</v>
      </c>
      <c r="D428" t="s">
        <v>246</v>
      </c>
      <c r="E428" s="53">
        <v>42000</v>
      </c>
      <c r="F428" s="53">
        <v>58000</v>
      </c>
    </row>
    <row r="429" spans="1:6" x14ac:dyDescent="0.25">
      <c r="A429" s="1">
        <v>6313</v>
      </c>
      <c r="B429" t="s">
        <v>596</v>
      </c>
      <c r="C429" t="s">
        <v>301</v>
      </c>
      <c r="D429" t="s">
        <v>246</v>
      </c>
      <c r="E429" s="53">
        <v>50000</v>
      </c>
      <c r="F429" s="53">
        <v>68000</v>
      </c>
    </row>
    <row r="430" spans="1:6" x14ac:dyDescent="0.25">
      <c r="A430" s="1">
        <v>6097</v>
      </c>
      <c r="B430" t="s">
        <v>597</v>
      </c>
      <c r="C430" t="s">
        <v>301</v>
      </c>
      <c r="D430" t="s">
        <v>246</v>
      </c>
      <c r="E430" s="53">
        <v>38000</v>
      </c>
      <c r="F430" s="53">
        <v>52000</v>
      </c>
    </row>
    <row r="431" spans="1:6" x14ac:dyDescent="0.25">
      <c r="A431" s="1">
        <v>7095</v>
      </c>
      <c r="B431" t="s">
        <v>598</v>
      </c>
      <c r="C431" t="s">
        <v>301</v>
      </c>
      <c r="D431" t="s">
        <v>246</v>
      </c>
      <c r="E431" s="53">
        <v>37000</v>
      </c>
      <c r="F431" s="53">
        <v>50000</v>
      </c>
    </row>
    <row r="432" spans="1:6" x14ac:dyDescent="0.25">
      <c r="A432" s="1">
        <v>7682</v>
      </c>
      <c r="B432" t="s">
        <v>599</v>
      </c>
      <c r="C432" t="s">
        <v>301</v>
      </c>
      <c r="D432" t="s">
        <v>246</v>
      </c>
      <c r="E432" s="53">
        <v>48000</v>
      </c>
      <c r="F432" s="53">
        <v>65000</v>
      </c>
    </row>
    <row r="433" spans="1:6" x14ac:dyDescent="0.25">
      <c r="A433" s="1">
        <v>1617</v>
      </c>
      <c r="B433" t="s">
        <v>600</v>
      </c>
      <c r="C433" t="s">
        <v>301</v>
      </c>
      <c r="D433" t="s">
        <v>246</v>
      </c>
      <c r="E433" s="53">
        <v>44000</v>
      </c>
      <c r="F433" s="53">
        <v>60000</v>
      </c>
    </row>
    <row r="434" spans="1:6" x14ac:dyDescent="0.25">
      <c r="A434" s="1">
        <v>5659</v>
      </c>
      <c r="B434" t="s">
        <v>601</v>
      </c>
      <c r="C434" t="s">
        <v>301</v>
      </c>
      <c r="D434" t="s">
        <v>246</v>
      </c>
      <c r="E434" s="53">
        <v>46000</v>
      </c>
      <c r="F434" s="53">
        <v>62000</v>
      </c>
    </row>
    <row r="435" spans="1:6" x14ac:dyDescent="0.25">
      <c r="A435" s="1">
        <v>9103</v>
      </c>
      <c r="B435" t="s">
        <v>602</v>
      </c>
      <c r="C435" t="s">
        <v>302</v>
      </c>
      <c r="D435" t="s">
        <v>247</v>
      </c>
      <c r="E435" s="53">
        <v>12000</v>
      </c>
      <c r="F435" s="53">
        <v>18000</v>
      </c>
    </row>
    <row r="436" spans="1:6" x14ac:dyDescent="0.25">
      <c r="A436" s="1">
        <v>3180</v>
      </c>
      <c r="B436" t="s">
        <v>603</v>
      </c>
      <c r="C436" t="s">
        <v>302</v>
      </c>
      <c r="D436" t="s">
        <v>247</v>
      </c>
      <c r="E436" s="53">
        <v>13000</v>
      </c>
      <c r="F436" s="53">
        <v>19000</v>
      </c>
    </row>
    <row r="437" spans="1:6" x14ac:dyDescent="0.25">
      <c r="A437" s="1">
        <v>7199</v>
      </c>
      <c r="B437" t="s">
        <v>604</v>
      </c>
      <c r="C437" t="s">
        <v>302</v>
      </c>
      <c r="D437" t="s">
        <v>247</v>
      </c>
      <c r="E437" s="53">
        <v>14000</v>
      </c>
      <c r="F437" s="53">
        <v>20000</v>
      </c>
    </row>
    <row r="438" spans="1:6" x14ac:dyDescent="0.25">
      <c r="A438" s="1">
        <v>1293</v>
      </c>
      <c r="B438" t="s">
        <v>605</v>
      </c>
      <c r="C438" t="s">
        <v>302</v>
      </c>
      <c r="D438" t="s">
        <v>247</v>
      </c>
      <c r="E438" s="53">
        <v>12500</v>
      </c>
      <c r="F438" s="53">
        <v>17500</v>
      </c>
    </row>
    <row r="439" spans="1:6" x14ac:dyDescent="0.25">
      <c r="A439" s="1">
        <v>9934</v>
      </c>
      <c r="B439" t="s">
        <v>606</v>
      </c>
      <c r="C439" t="s">
        <v>302</v>
      </c>
      <c r="D439" t="s">
        <v>247</v>
      </c>
      <c r="E439" s="53">
        <v>13500</v>
      </c>
      <c r="F439" s="53">
        <v>19500</v>
      </c>
    </row>
    <row r="440" spans="1:6" x14ac:dyDescent="0.25">
      <c r="A440" s="1">
        <v>7977</v>
      </c>
      <c r="B440" t="s">
        <v>607</v>
      </c>
      <c r="C440" t="s">
        <v>302</v>
      </c>
      <c r="D440" t="s">
        <v>247</v>
      </c>
      <c r="E440" s="53">
        <v>14000</v>
      </c>
      <c r="F440" s="53">
        <v>20000</v>
      </c>
    </row>
    <row r="441" spans="1:6" x14ac:dyDescent="0.25">
      <c r="A441" s="1">
        <v>3006</v>
      </c>
      <c r="B441" t="s">
        <v>608</v>
      </c>
      <c r="C441" t="s">
        <v>302</v>
      </c>
      <c r="D441" t="s">
        <v>247</v>
      </c>
      <c r="E441" s="53">
        <v>12000</v>
      </c>
      <c r="F441" s="53">
        <v>18000</v>
      </c>
    </row>
    <row r="442" spans="1:6" x14ac:dyDescent="0.25">
      <c r="A442" s="1">
        <v>8771</v>
      </c>
      <c r="B442" t="s">
        <v>609</v>
      </c>
      <c r="C442" t="s">
        <v>302</v>
      </c>
      <c r="D442" t="s">
        <v>247</v>
      </c>
      <c r="E442" s="53">
        <v>14500</v>
      </c>
      <c r="F442" s="53">
        <v>21000</v>
      </c>
    </row>
    <row r="443" spans="1:6" x14ac:dyDescent="0.25">
      <c r="A443" s="1">
        <v>2097</v>
      </c>
      <c r="B443" t="s">
        <v>610</v>
      </c>
      <c r="C443" t="s">
        <v>302</v>
      </c>
      <c r="D443" t="s">
        <v>247</v>
      </c>
      <c r="E443" s="53">
        <v>13000</v>
      </c>
      <c r="F443" s="53">
        <v>19000</v>
      </c>
    </row>
    <row r="444" spans="1:6" x14ac:dyDescent="0.25">
      <c r="A444" s="1">
        <v>3929</v>
      </c>
      <c r="B444" t="s">
        <v>611</v>
      </c>
      <c r="C444" t="s">
        <v>302</v>
      </c>
      <c r="D444" t="s">
        <v>258</v>
      </c>
      <c r="E444" s="53">
        <v>15000</v>
      </c>
      <c r="F444" s="53">
        <v>22000</v>
      </c>
    </row>
    <row r="445" spans="1:6" x14ac:dyDescent="0.25">
      <c r="A445" s="1">
        <v>8251</v>
      </c>
      <c r="B445" t="s">
        <v>612</v>
      </c>
      <c r="C445" t="s">
        <v>302</v>
      </c>
      <c r="D445" t="s">
        <v>258</v>
      </c>
      <c r="E445" s="53">
        <v>14500</v>
      </c>
      <c r="F445" s="53">
        <v>21000</v>
      </c>
    </row>
    <row r="446" spans="1:6" x14ac:dyDescent="0.25">
      <c r="A446" s="1">
        <v>9282</v>
      </c>
      <c r="B446" t="s">
        <v>613</v>
      </c>
      <c r="C446" t="s">
        <v>302</v>
      </c>
      <c r="D446" t="s">
        <v>258</v>
      </c>
      <c r="E446" s="53">
        <v>16000</v>
      </c>
      <c r="F446" s="53">
        <v>23000</v>
      </c>
    </row>
    <row r="447" spans="1:6" x14ac:dyDescent="0.25">
      <c r="A447" s="1">
        <v>2147</v>
      </c>
      <c r="B447" t="s">
        <v>614</v>
      </c>
      <c r="C447" t="s">
        <v>302</v>
      </c>
      <c r="D447" t="s">
        <v>258</v>
      </c>
      <c r="E447" s="53">
        <v>15500</v>
      </c>
      <c r="F447" s="53">
        <v>22500</v>
      </c>
    </row>
    <row r="448" spans="1:6" x14ac:dyDescent="0.25">
      <c r="A448" s="1">
        <v>8742</v>
      </c>
      <c r="B448" t="s">
        <v>615</v>
      </c>
      <c r="C448" t="s">
        <v>302</v>
      </c>
      <c r="D448" t="s">
        <v>258</v>
      </c>
      <c r="E448" s="53">
        <v>16500</v>
      </c>
      <c r="F448" s="53">
        <v>24000</v>
      </c>
    </row>
    <row r="449" spans="1:6" x14ac:dyDescent="0.25">
      <c r="A449" s="1">
        <v>6382</v>
      </c>
      <c r="B449" t="s">
        <v>616</v>
      </c>
      <c r="C449" t="s">
        <v>302</v>
      </c>
      <c r="D449" t="s">
        <v>258</v>
      </c>
      <c r="E449" s="53">
        <v>15000</v>
      </c>
      <c r="F449" s="53">
        <v>22000</v>
      </c>
    </row>
    <row r="450" spans="1:6" x14ac:dyDescent="0.25">
      <c r="A450" s="1">
        <v>7760</v>
      </c>
      <c r="B450" t="s">
        <v>617</v>
      </c>
      <c r="C450" t="s">
        <v>302</v>
      </c>
      <c r="D450" t="s">
        <v>258</v>
      </c>
      <c r="E450" s="53">
        <v>17000</v>
      </c>
      <c r="F450" s="53">
        <v>25000</v>
      </c>
    </row>
    <row r="451" spans="1:6" x14ac:dyDescent="0.25">
      <c r="A451" s="1">
        <v>8031</v>
      </c>
      <c r="B451" t="s">
        <v>618</v>
      </c>
      <c r="C451" t="s">
        <v>302</v>
      </c>
      <c r="D451" t="s">
        <v>258</v>
      </c>
      <c r="E451" s="53">
        <v>16000</v>
      </c>
      <c r="F451" s="53">
        <v>23000</v>
      </c>
    </row>
    <row r="452" spans="1:6" x14ac:dyDescent="0.25">
      <c r="A452" s="1">
        <v>1231</v>
      </c>
      <c r="B452" t="s">
        <v>619</v>
      </c>
      <c r="C452" t="s">
        <v>302</v>
      </c>
      <c r="D452" t="s">
        <v>258</v>
      </c>
      <c r="E452" s="53">
        <v>15500</v>
      </c>
      <c r="F452" s="53">
        <v>22500</v>
      </c>
    </row>
    <row r="453" spans="1:6" x14ac:dyDescent="0.25">
      <c r="A453" s="1">
        <v>2576</v>
      </c>
      <c r="B453" t="s">
        <v>620</v>
      </c>
      <c r="C453" t="s">
        <v>302</v>
      </c>
      <c r="D453" t="s">
        <v>257</v>
      </c>
      <c r="E453" s="53">
        <v>16000</v>
      </c>
      <c r="F453" s="53">
        <v>24000</v>
      </c>
    </row>
    <row r="454" spans="1:6" x14ac:dyDescent="0.25">
      <c r="A454" s="1">
        <v>4373</v>
      </c>
      <c r="B454" t="s">
        <v>621</v>
      </c>
      <c r="C454" t="s">
        <v>302</v>
      </c>
      <c r="D454" t="s">
        <v>257</v>
      </c>
      <c r="E454" s="53">
        <v>17000</v>
      </c>
      <c r="F454" s="53">
        <v>25000</v>
      </c>
    </row>
    <row r="455" spans="1:6" x14ac:dyDescent="0.25">
      <c r="A455" s="1">
        <v>4586</v>
      </c>
      <c r="B455" t="s">
        <v>622</v>
      </c>
      <c r="C455" t="s">
        <v>302</v>
      </c>
      <c r="D455" t="s">
        <v>257</v>
      </c>
      <c r="E455" s="53">
        <v>16500</v>
      </c>
      <c r="F455" s="53">
        <v>24500</v>
      </c>
    </row>
    <row r="456" spans="1:6" x14ac:dyDescent="0.25">
      <c r="A456" s="1">
        <v>8645</v>
      </c>
      <c r="B456" t="s">
        <v>623</v>
      </c>
      <c r="C456" t="s">
        <v>302</v>
      </c>
      <c r="D456" t="s">
        <v>257</v>
      </c>
      <c r="E456" s="53">
        <v>15500</v>
      </c>
      <c r="F456" s="53">
        <v>23500</v>
      </c>
    </row>
    <row r="457" spans="1:6" x14ac:dyDescent="0.25">
      <c r="A457" s="1">
        <v>1748</v>
      </c>
      <c r="B457" t="s">
        <v>624</v>
      </c>
      <c r="C457" t="s">
        <v>302</v>
      </c>
      <c r="D457" t="s">
        <v>257</v>
      </c>
      <c r="E457" s="53">
        <v>17500</v>
      </c>
      <c r="F457" s="53">
        <v>26000</v>
      </c>
    </row>
    <row r="458" spans="1:6" x14ac:dyDescent="0.25">
      <c r="A458" s="1">
        <v>9336</v>
      </c>
      <c r="B458" t="s">
        <v>625</v>
      </c>
      <c r="C458" t="s">
        <v>302</v>
      </c>
      <c r="D458" t="s">
        <v>257</v>
      </c>
      <c r="E458" s="53">
        <v>18000</v>
      </c>
      <c r="F458" s="53">
        <v>27000</v>
      </c>
    </row>
    <row r="459" spans="1:6" x14ac:dyDescent="0.25">
      <c r="A459" s="1">
        <v>7127</v>
      </c>
      <c r="B459" t="s">
        <v>626</v>
      </c>
      <c r="C459" t="s">
        <v>302</v>
      </c>
      <c r="D459" t="s">
        <v>257</v>
      </c>
      <c r="E459" s="53">
        <v>16500</v>
      </c>
      <c r="F459" s="53">
        <v>24500</v>
      </c>
    </row>
    <row r="460" spans="1:6" x14ac:dyDescent="0.25">
      <c r="A460" s="1">
        <v>5642</v>
      </c>
      <c r="B460" t="s">
        <v>627</v>
      </c>
      <c r="C460" t="s">
        <v>302</v>
      </c>
      <c r="D460" t="s">
        <v>257</v>
      </c>
      <c r="E460" s="53">
        <v>18000</v>
      </c>
      <c r="F460" s="53">
        <v>27500</v>
      </c>
    </row>
    <row r="461" spans="1:6" x14ac:dyDescent="0.25">
      <c r="A461" s="1">
        <v>2492</v>
      </c>
      <c r="B461" t="s">
        <v>628</v>
      </c>
      <c r="C461" t="s">
        <v>302</v>
      </c>
      <c r="D461" t="s">
        <v>257</v>
      </c>
      <c r="E461" s="53">
        <v>17000</v>
      </c>
      <c r="F461" s="53">
        <v>25500</v>
      </c>
    </row>
    <row r="462" spans="1:6" x14ac:dyDescent="0.25">
      <c r="A462" s="1">
        <v>2036</v>
      </c>
      <c r="B462" t="s">
        <v>629</v>
      </c>
      <c r="C462" t="s">
        <v>302</v>
      </c>
      <c r="D462" t="s">
        <v>256</v>
      </c>
      <c r="E462" s="53">
        <v>18000</v>
      </c>
      <c r="F462" s="53">
        <v>26000</v>
      </c>
    </row>
    <row r="463" spans="1:6" x14ac:dyDescent="0.25">
      <c r="A463" s="1">
        <v>2933</v>
      </c>
      <c r="B463" t="s">
        <v>630</v>
      </c>
      <c r="C463" t="s">
        <v>302</v>
      </c>
      <c r="D463" t="s">
        <v>256</v>
      </c>
      <c r="E463" s="53">
        <v>19000</v>
      </c>
      <c r="F463" s="53">
        <v>27500</v>
      </c>
    </row>
    <row r="464" spans="1:6" x14ac:dyDescent="0.25">
      <c r="A464" s="1">
        <v>3658</v>
      </c>
      <c r="B464" t="s">
        <v>631</v>
      </c>
      <c r="C464" t="s">
        <v>302</v>
      </c>
      <c r="D464" t="s">
        <v>256</v>
      </c>
      <c r="E464" s="53">
        <v>20000</v>
      </c>
      <c r="F464" s="53">
        <v>28500</v>
      </c>
    </row>
    <row r="465" spans="1:6" x14ac:dyDescent="0.25">
      <c r="A465" s="1">
        <v>3727</v>
      </c>
      <c r="B465" t="s">
        <v>632</v>
      </c>
      <c r="C465" t="s">
        <v>302</v>
      </c>
      <c r="D465" t="s">
        <v>256</v>
      </c>
      <c r="E465" s="53">
        <v>19500</v>
      </c>
      <c r="F465" s="53">
        <v>28000</v>
      </c>
    </row>
    <row r="466" spans="1:6" x14ac:dyDescent="0.25">
      <c r="A466" s="1">
        <v>1655</v>
      </c>
      <c r="B466" t="s">
        <v>633</v>
      </c>
      <c r="C466" t="s">
        <v>302</v>
      </c>
      <c r="D466" t="s">
        <v>256</v>
      </c>
      <c r="E466" s="53">
        <v>18500</v>
      </c>
      <c r="F466" s="53">
        <v>26500</v>
      </c>
    </row>
    <row r="467" spans="1:6" x14ac:dyDescent="0.25">
      <c r="A467" s="1">
        <v>9318</v>
      </c>
      <c r="B467" t="s">
        <v>634</v>
      </c>
      <c r="C467" t="s">
        <v>302</v>
      </c>
      <c r="D467" t="s">
        <v>256</v>
      </c>
      <c r="E467" s="53">
        <v>20000</v>
      </c>
      <c r="F467" s="53">
        <v>29000</v>
      </c>
    </row>
    <row r="468" spans="1:6" x14ac:dyDescent="0.25">
      <c r="A468" s="1">
        <v>3060</v>
      </c>
      <c r="B468" t="s">
        <v>635</v>
      </c>
      <c r="C468" t="s">
        <v>302</v>
      </c>
      <c r="D468" t="s">
        <v>256</v>
      </c>
      <c r="E468" s="53">
        <v>19000</v>
      </c>
      <c r="F468" s="53">
        <v>27000</v>
      </c>
    </row>
    <row r="469" spans="1:6" x14ac:dyDescent="0.25">
      <c r="A469" s="1">
        <v>9242</v>
      </c>
      <c r="B469" t="s">
        <v>636</v>
      </c>
      <c r="C469" t="s">
        <v>302</v>
      </c>
      <c r="D469" t="s">
        <v>256</v>
      </c>
      <c r="E469" s="53">
        <v>18500</v>
      </c>
      <c r="F469" s="53">
        <v>26500</v>
      </c>
    </row>
    <row r="470" spans="1:6" x14ac:dyDescent="0.25">
      <c r="A470" s="1">
        <v>4998</v>
      </c>
      <c r="B470" t="s">
        <v>637</v>
      </c>
      <c r="C470" t="s">
        <v>302</v>
      </c>
      <c r="D470" t="s">
        <v>256</v>
      </c>
      <c r="E470" s="53">
        <v>19500</v>
      </c>
      <c r="F470" s="53">
        <v>27500</v>
      </c>
    </row>
    <row r="471" spans="1:6" x14ac:dyDescent="0.25">
      <c r="A471" s="1">
        <v>3124</v>
      </c>
      <c r="B471" t="s">
        <v>638</v>
      </c>
      <c r="C471" t="s">
        <v>302</v>
      </c>
      <c r="D471" t="s">
        <v>255</v>
      </c>
      <c r="E471" s="53">
        <v>22000</v>
      </c>
      <c r="F471" s="53">
        <v>30000</v>
      </c>
    </row>
    <row r="472" spans="1:6" x14ac:dyDescent="0.25">
      <c r="A472" s="1">
        <v>4432</v>
      </c>
      <c r="B472" t="s">
        <v>639</v>
      </c>
      <c r="C472" t="s">
        <v>302</v>
      </c>
      <c r="D472" t="s">
        <v>255</v>
      </c>
      <c r="E472" s="53">
        <v>23000</v>
      </c>
      <c r="F472" s="53">
        <v>32000</v>
      </c>
    </row>
    <row r="473" spans="1:6" x14ac:dyDescent="0.25">
      <c r="A473" s="1">
        <v>7875</v>
      </c>
      <c r="B473" t="s">
        <v>640</v>
      </c>
      <c r="C473" t="s">
        <v>302</v>
      </c>
      <c r="D473" t="s">
        <v>255</v>
      </c>
      <c r="E473" s="53">
        <v>22500</v>
      </c>
      <c r="F473" s="53">
        <v>31000</v>
      </c>
    </row>
    <row r="474" spans="1:6" x14ac:dyDescent="0.25">
      <c r="A474" s="1">
        <v>2376</v>
      </c>
      <c r="B474" t="s">
        <v>641</v>
      </c>
      <c r="C474" t="s">
        <v>302</v>
      </c>
      <c r="D474" t="s">
        <v>255</v>
      </c>
      <c r="E474" s="53">
        <v>24000</v>
      </c>
      <c r="F474" s="53">
        <v>33000</v>
      </c>
    </row>
    <row r="475" spans="1:6" x14ac:dyDescent="0.25">
      <c r="A475" s="1">
        <v>2823</v>
      </c>
      <c r="B475" t="s">
        <v>642</v>
      </c>
      <c r="C475" t="s">
        <v>302</v>
      </c>
      <c r="D475" t="s">
        <v>255</v>
      </c>
      <c r="E475" s="53">
        <v>23500</v>
      </c>
      <c r="F475" s="53">
        <v>32500</v>
      </c>
    </row>
    <row r="476" spans="1:6" x14ac:dyDescent="0.25">
      <c r="A476" s="1">
        <v>9219</v>
      </c>
      <c r="B476" t="s">
        <v>643</v>
      </c>
      <c r="C476" t="s">
        <v>302</v>
      </c>
      <c r="D476" t="s">
        <v>255</v>
      </c>
      <c r="E476" s="53">
        <v>22000</v>
      </c>
      <c r="F476" s="53">
        <v>30000</v>
      </c>
    </row>
    <row r="477" spans="1:6" x14ac:dyDescent="0.25">
      <c r="A477" s="1">
        <v>4743</v>
      </c>
      <c r="B477" t="s">
        <v>644</v>
      </c>
      <c r="C477" t="s">
        <v>302</v>
      </c>
      <c r="D477" t="s">
        <v>255</v>
      </c>
      <c r="E477" s="53">
        <v>24500</v>
      </c>
      <c r="F477" s="53">
        <v>33500</v>
      </c>
    </row>
    <row r="478" spans="1:6" x14ac:dyDescent="0.25">
      <c r="A478" s="1">
        <v>7829</v>
      </c>
      <c r="B478" t="s">
        <v>645</v>
      </c>
      <c r="C478" t="s">
        <v>302</v>
      </c>
      <c r="D478" t="s">
        <v>255</v>
      </c>
      <c r="E478" s="53">
        <v>25000</v>
      </c>
      <c r="F478" s="53">
        <v>34000</v>
      </c>
    </row>
    <row r="479" spans="1:6" x14ac:dyDescent="0.25">
      <c r="A479" s="1">
        <v>1016</v>
      </c>
      <c r="B479" t="s">
        <v>646</v>
      </c>
      <c r="C479" t="s">
        <v>302</v>
      </c>
      <c r="D479" t="s">
        <v>255</v>
      </c>
      <c r="E479" s="53">
        <v>23500</v>
      </c>
      <c r="F479" s="53">
        <v>32000</v>
      </c>
    </row>
    <row r="480" spans="1:6" x14ac:dyDescent="0.25">
      <c r="A480" s="1">
        <v>4899</v>
      </c>
      <c r="B480" t="s">
        <v>647</v>
      </c>
      <c r="C480" t="s">
        <v>302</v>
      </c>
      <c r="D480" t="s">
        <v>254</v>
      </c>
      <c r="E480" s="53">
        <v>25000</v>
      </c>
      <c r="F480" s="53">
        <v>35000</v>
      </c>
    </row>
    <row r="481" spans="1:6" x14ac:dyDescent="0.25">
      <c r="A481" s="1">
        <v>5017</v>
      </c>
      <c r="B481" t="s">
        <v>648</v>
      </c>
      <c r="C481" t="s">
        <v>302</v>
      </c>
      <c r="D481" t="s">
        <v>254</v>
      </c>
      <c r="E481" s="53">
        <v>26500</v>
      </c>
      <c r="F481" s="53">
        <v>37000</v>
      </c>
    </row>
    <row r="482" spans="1:6" x14ac:dyDescent="0.25">
      <c r="A482" s="1">
        <v>5108</v>
      </c>
      <c r="B482" t="s">
        <v>649</v>
      </c>
      <c r="C482" t="s">
        <v>302</v>
      </c>
      <c r="D482" t="s">
        <v>254</v>
      </c>
      <c r="E482" s="53">
        <v>27000</v>
      </c>
      <c r="F482" s="53">
        <v>38000</v>
      </c>
    </row>
    <row r="483" spans="1:6" x14ac:dyDescent="0.25">
      <c r="A483" s="1">
        <v>2013</v>
      </c>
      <c r="B483" t="s">
        <v>650</v>
      </c>
      <c r="C483" t="s">
        <v>302</v>
      </c>
      <c r="D483" t="s">
        <v>254</v>
      </c>
      <c r="E483" s="53">
        <v>26000</v>
      </c>
      <c r="F483" s="53">
        <v>36500</v>
      </c>
    </row>
    <row r="484" spans="1:6" x14ac:dyDescent="0.25">
      <c r="A484" s="1">
        <v>8833</v>
      </c>
      <c r="B484" t="s">
        <v>651</v>
      </c>
      <c r="C484" t="s">
        <v>302</v>
      </c>
      <c r="D484" t="s">
        <v>254</v>
      </c>
      <c r="E484" s="53">
        <v>25500</v>
      </c>
      <c r="F484" s="53">
        <v>35500</v>
      </c>
    </row>
    <row r="485" spans="1:6" x14ac:dyDescent="0.25">
      <c r="A485" s="1">
        <v>6159</v>
      </c>
      <c r="B485" t="s">
        <v>652</v>
      </c>
      <c r="C485" t="s">
        <v>302</v>
      </c>
      <c r="D485" t="s">
        <v>254</v>
      </c>
      <c r="E485" s="53">
        <v>27500</v>
      </c>
      <c r="F485" s="53">
        <v>39000</v>
      </c>
    </row>
    <row r="486" spans="1:6" x14ac:dyDescent="0.25">
      <c r="A486" s="1">
        <v>1933</v>
      </c>
      <c r="B486" t="s">
        <v>653</v>
      </c>
      <c r="C486" t="s">
        <v>302</v>
      </c>
      <c r="D486" t="s">
        <v>254</v>
      </c>
      <c r="E486" s="53">
        <v>26000</v>
      </c>
      <c r="F486" s="53">
        <v>37000</v>
      </c>
    </row>
    <row r="487" spans="1:6" x14ac:dyDescent="0.25">
      <c r="A487" s="1">
        <v>9354</v>
      </c>
      <c r="B487" t="s">
        <v>654</v>
      </c>
      <c r="C487" t="s">
        <v>302</v>
      </c>
      <c r="D487" t="s">
        <v>254</v>
      </c>
      <c r="E487" s="53">
        <v>27000</v>
      </c>
      <c r="F487" s="53">
        <v>38500</v>
      </c>
    </row>
    <row r="488" spans="1:6" x14ac:dyDescent="0.25">
      <c r="A488" s="1">
        <v>9670</v>
      </c>
      <c r="B488" t="s">
        <v>655</v>
      </c>
      <c r="C488" t="s">
        <v>302</v>
      </c>
      <c r="D488" t="s">
        <v>254</v>
      </c>
      <c r="E488" s="53">
        <v>25500</v>
      </c>
      <c r="F488" s="53">
        <v>36000</v>
      </c>
    </row>
    <row r="489" spans="1:6" x14ac:dyDescent="0.25">
      <c r="A489" s="1">
        <v>9448</v>
      </c>
      <c r="B489" t="s">
        <v>656</v>
      </c>
      <c r="C489" t="s">
        <v>302</v>
      </c>
      <c r="D489" t="s">
        <v>253</v>
      </c>
      <c r="E489" s="53">
        <v>30000</v>
      </c>
      <c r="F489" s="53">
        <v>42000</v>
      </c>
    </row>
    <row r="490" spans="1:6" x14ac:dyDescent="0.25">
      <c r="A490" s="1">
        <v>4763</v>
      </c>
      <c r="B490" t="s">
        <v>657</v>
      </c>
      <c r="C490" t="s">
        <v>302</v>
      </c>
      <c r="D490" t="s">
        <v>253</v>
      </c>
      <c r="E490" s="53">
        <v>28000</v>
      </c>
      <c r="F490" s="53">
        <v>38000</v>
      </c>
    </row>
    <row r="491" spans="1:6" x14ac:dyDescent="0.25">
      <c r="A491" s="1">
        <v>2181</v>
      </c>
      <c r="B491" t="s">
        <v>658</v>
      </c>
      <c r="C491" t="s">
        <v>302</v>
      </c>
      <c r="D491" t="s">
        <v>253</v>
      </c>
      <c r="E491" s="53">
        <v>29500</v>
      </c>
      <c r="F491" s="53">
        <v>40000</v>
      </c>
    </row>
    <row r="492" spans="1:6" x14ac:dyDescent="0.25">
      <c r="A492" s="1">
        <v>4408</v>
      </c>
      <c r="B492" t="s">
        <v>659</v>
      </c>
      <c r="C492" t="s">
        <v>302</v>
      </c>
      <c r="D492" t="s">
        <v>253</v>
      </c>
      <c r="E492" s="53">
        <v>27500</v>
      </c>
      <c r="F492" s="53">
        <v>37500</v>
      </c>
    </row>
    <row r="493" spans="1:6" x14ac:dyDescent="0.25">
      <c r="A493" s="1">
        <v>4700</v>
      </c>
      <c r="B493" t="s">
        <v>660</v>
      </c>
      <c r="C493" t="s">
        <v>302</v>
      </c>
      <c r="D493" t="s">
        <v>253</v>
      </c>
      <c r="E493" s="53">
        <v>30000</v>
      </c>
      <c r="F493" s="53">
        <v>41000</v>
      </c>
    </row>
    <row r="494" spans="1:6" x14ac:dyDescent="0.25">
      <c r="A494" s="1">
        <v>4593</v>
      </c>
      <c r="B494" t="s">
        <v>661</v>
      </c>
      <c r="C494" t="s">
        <v>302</v>
      </c>
      <c r="D494" t="s">
        <v>253</v>
      </c>
      <c r="E494" s="53">
        <v>28500</v>
      </c>
      <c r="F494" s="53">
        <v>38500</v>
      </c>
    </row>
    <row r="495" spans="1:6" x14ac:dyDescent="0.25">
      <c r="A495" s="1">
        <v>6757</v>
      </c>
      <c r="B495" t="s">
        <v>662</v>
      </c>
      <c r="C495" t="s">
        <v>302</v>
      </c>
      <c r="D495" t="s">
        <v>253</v>
      </c>
      <c r="E495" s="53">
        <v>29000</v>
      </c>
      <c r="F495" s="53">
        <v>39000</v>
      </c>
    </row>
    <row r="496" spans="1:6" x14ac:dyDescent="0.25">
      <c r="A496" s="1">
        <v>3223</v>
      </c>
      <c r="B496" t="s">
        <v>663</v>
      </c>
      <c r="C496" t="s">
        <v>302</v>
      </c>
      <c r="D496" t="s">
        <v>253</v>
      </c>
      <c r="E496" s="53">
        <v>30500</v>
      </c>
      <c r="F496" s="53">
        <v>41500</v>
      </c>
    </row>
    <row r="497" spans="1:6" x14ac:dyDescent="0.25">
      <c r="A497" s="1">
        <v>7063</v>
      </c>
      <c r="B497" t="s">
        <v>664</v>
      </c>
      <c r="C497" t="s">
        <v>302</v>
      </c>
      <c r="D497" t="s">
        <v>253</v>
      </c>
      <c r="E497" s="53">
        <v>28000</v>
      </c>
      <c r="F497" s="53">
        <v>38000</v>
      </c>
    </row>
    <row r="498" spans="1:6" x14ac:dyDescent="0.25">
      <c r="A498" s="1">
        <v>5279</v>
      </c>
      <c r="B498" t="s">
        <v>665</v>
      </c>
      <c r="C498" t="s">
        <v>302</v>
      </c>
      <c r="D498" t="s">
        <v>252</v>
      </c>
      <c r="E498" s="53">
        <v>21500</v>
      </c>
      <c r="F498" s="53">
        <v>29500</v>
      </c>
    </row>
    <row r="499" spans="1:6" x14ac:dyDescent="0.25">
      <c r="A499" s="1">
        <v>3144</v>
      </c>
      <c r="B499" t="s">
        <v>666</v>
      </c>
      <c r="C499" t="s">
        <v>302</v>
      </c>
      <c r="D499" t="s">
        <v>252</v>
      </c>
      <c r="E499" s="53">
        <v>22000</v>
      </c>
      <c r="F499" s="53">
        <v>30000</v>
      </c>
    </row>
    <row r="500" spans="1:6" x14ac:dyDescent="0.25">
      <c r="A500" s="1">
        <v>1333</v>
      </c>
      <c r="B500" t="s">
        <v>667</v>
      </c>
      <c r="C500" t="s">
        <v>302</v>
      </c>
      <c r="D500" t="s">
        <v>252</v>
      </c>
      <c r="E500" s="53">
        <v>23500</v>
      </c>
      <c r="F500" s="53">
        <v>31500</v>
      </c>
    </row>
    <row r="501" spans="1:6" x14ac:dyDescent="0.25">
      <c r="A501" s="1">
        <v>1661</v>
      </c>
      <c r="B501" t="s">
        <v>668</v>
      </c>
      <c r="C501" t="s">
        <v>302</v>
      </c>
      <c r="D501" t="s">
        <v>252</v>
      </c>
      <c r="E501" s="53">
        <v>24000</v>
      </c>
      <c r="F501" s="53">
        <v>32000</v>
      </c>
    </row>
    <row r="502" spans="1:6" x14ac:dyDescent="0.25">
      <c r="A502" s="1">
        <v>2734</v>
      </c>
      <c r="B502" t="s">
        <v>669</v>
      </c>
      <c r="C502" t="s">
        <v>302</v>
      </c>
      <c r="D502" t="s">
        <v>252</v>
      </c>
      <c r="E502" s="53">
        <v>22500</v>
      </c>
      <c r="F502" s="53">
        <v>30500</v>
      </c>
    </row>
    <row r="503" spans="1:6" x14ac:dyDescent="0.25">
      <c r="A503" s="1">
        <v>2353</v>
      </c>
      <c r="B503" t="s">
        <v>670</v>
      </c>
      <c r="C503" t="s">
        <v>302</v>
      </c>
      <c r="D503" t="s">
        <v>252</v>
      </c>
      <c r="E503" s="53">
        <v>23000</v>
      </c>
      <c r="F503" s="53">
        <v>31000</v>
      </c>
    </row>
    <row r="504" spans="1:6" x14ac:dyDescent="0.25">
      <c r="A504" s="1">
        <v>9124</v>
      </c>
      <c r="B504" t="s">
        <v>671</v>
      </c>
      <c r="C504" t="s">
        <v>302</v>
      </c>
      <c r="D504" t="s">
        <v>252</v>
      </c>
      <c r="E504" s="53">
        <v>22000</v>
      </c>
      <c r="F504" s="53">
        <v>30000</v>
      </c>
    </row>
    <row r="505" spans="1:6" x14ac:dyDescent="0.25">
      <c r="A505" s="1">
        <v>9322</v>
      </c>
      <c r="B505" t="s">
        <v>672</v>
      </c>
      <c r="C505" t="s">
        <v>302</v>
      </c>
      <c r="D505" t="s">
        <v>252</v>
      </c>
      <c r="E505" s="53">
        <v>24500</v>
      </c>
      <c r="F505" s="53">
        <v>33000</v>
      </c>
    </row>
    <row r="506" spans="1:6" x14ac:dyDescent="0.25">
      <c r="A506" s="1">
        <v>4828</v>
      </c>
      <c r="B506" t="s">
        <v>673</v>
      </c>
      <c r="C506" t="s">
        <v>302</v>
      </c>
      <c r="D506" t="s">
        <v>252</v>
      </c>
      <c r="E506" s="53">
        <v>23500</v>
      </c>
      <c r="F506" s="53">
        <v>32000</v>
      </c>
    </row>
    <row r="507" spans="1:6" x14ac:dyDescent="0.25">
      <c r="A507" s="1">
        <v>1261</v>
      </c>
      <c r="B507" t="s">
        <v>674</v>
      </c>
      <c r="C507" t="s">
        <v>302</v>
      </c>
      <c r="D507" t="s">
        <v>251</v>
      </c>
      <c r="E507" s="53">
        <v>28000</v>
      </c>
      <c r="F507" s="53">
        <v>38000</v>
      </c>
    </row>
    <row r="508" spans="1:6" x14ac:dyDescent="0.25">
      <c r="A508" s="1">
        <v>1315</v>
      </c>
      <c r="B508" t="s">
        <v>675</v>
      </c>
      <c r="C508" t="s">
        <v>302</v>
      </c>
      <c r="D508" t="s">
        <v>251</v>
      </c>
      <c r="E508" s="53">
        <v>29000</v>
      </c>
      <c r="F508" s="53">
        <v>40000</v>
      </c>
    </row>
    <row r="509" spans="1:6" x14ac:dyDescent="0.25">
      <c r="A509" s="1">
        <v>6948</v>
      </c>
      <c r="B509" t="s">
        <v>676</v>
      </c>
      <c r="C509" t="s">
        <v>302</v>
      </c>
      <c r="D509" t="s">
        <v>251</v>
      </c>
      <c r="E509" s="53">
        <v>30000</v>
      </c>
      <c r="F509" s="53">
        <v>41500</v>
      </c>
    </row>
    <row r="510" spans="1:6" x14ac:dyDescent="0.25">
      <c r="A510" s="1">
        <v>6298</v>
      </c>
      <c r="B510" t="s">
        <v>677</v>
      </c>
      <c r="C510" t="s">
        <v>302</v>
      </c>
      <c r="D510" t="s">
        <v>251</v>
      </c>
      <c r="E510" s="53">
        <v>31000</v>
      </c>
      <c r="F510" s="53">
        <v>43000</v>
      </c>
    </row>
    <row r="511" spans="1:6" x14ac:dyDescent="0.25">
      <c r="A511" s="1">
        <v>9516</v>
      </c>
      <c r="B511" t="s">
        <v>678</v>
      </c>
      <c r="C511" t="s">
        <v>302</v>
      </c>
      <c r="D511" t="s">
        <v>251</v>
      </c>
      <c r="E511" s="53">
        <v>29500</v>
      </c>
      <c r="F511" s="53">
        <v>40500</v>
      </c>
    </row>
    <row r="512" spans="1:6" x14ac:dyDescent="0.25">
      <c r="A512" s="1">
        <v>7079</v>
      </c>
      <c r="B512" t="s">
        <v>679</v>
      </c>
      <c r="C512" t="s">
        <v>302</v>
      </c>
      <c r="D512" t="s">
        <v>251</v>
      </c>
      <c r="E512" s="53">
        <v>30500</v>
      </c>
      <c r="F512" s="53">
        <v>42000</v>
      </c>
    </row>
    <row r="513" spans="1:6" x14ac:dyDescent="0.25">
      <c r="A513" s="1">
        <v>1222</v>
      </c>
      <c r="B513" t="s">
        <v>680</v>
      </c>
      <c r="C513" t="s">
        <v>302</v>
      </c>
      <c r="D513" t="s">
        <v>251</v>
      </c>
      <c r="E513" s="53">
        <v>31000</v>
      </c>
      <c r="F513" s="53">
        <v>43500</v>
      </c>
    </row>
    <row r="514" spans="1:6" x14ac:dyDescent="0.25">
      <c r="A514" s="1">
        <v>4074</v>
      </c>
      <c r="B514" t="s">
        <v>681</v>
      </c>
      <c r="C514" t="s">
        <v>302</v>
      </c>
      <c r="D514" t="s">
        <v>251</v>
      </c>
      <c r="E514" s="53">
        <v>30000</v>
      </c>
      <c r="F514" s="53">
        <v>41000</v>
      </c>
    </row>
    <row r="515" spans="1:6" x14ac:dyDescent="0.25">
      <c r="A515" s="1">
        <v>8867</v>
      </c>
      <c r="B515" t="s">
        <v>682</v>
      </c>
      <c r="C515" t="s">
        <v>302</v>
      </c>
      <c r="D515" t="s">
        <v>251</v>
      </c>
      <c r="E515" s="53">
        <v>32000</v>
      </c>
      <c r="F515" s="53">
        <v>44000</v>
      </c>
    </row>
    <row r="516" spans="1:6" x14ac:dyDescent="0.25">
      <c r="A516" s="1">
        <v>8822</v>
      </c>
      <c r="B516" t="s">
        <v>683</v>
      </c>
      <c r="C516" t="s">
        <v>302</v>
      </c>
      <c r="D516" t="s">
        <v>250</v>
      </c>
      <c r="E516" s="53">
        <v>25000</v>
      </c>
      <c r="F516" s="53">
        <v>35000</v>
      </c>
    </row>
    <row r="517" spans="1:6" x14ac:dyDescent="0.25">
      <c r="A517" s="1">
        <v>7207</v>
      </c>
      <c r="B517" t="s">
        <v>684</v>
      </c>
      <c r="C517" t="s">
        <v>302</v>
      </c>
      <c r="D517" t="s">
        <v>250</v>
      </c>
      <c r="E517" s="53">
        <v>26000</v>
      </c>
      <c r="F517" s="53">
        <v>36000</v>
      </c>
    </row>
    <row r="518" spans="1:6" x14ac:dyDescent="0.25">
      <c r="A518" s="1">
        <v>1787</v>
      </c>
      <c r="B518" t="s">
        <v>685</v>
      </c>
      <c r="C518" t="s">
        <v>302</v>
      </c>
      <c r="D518" t="s">
        <v>250</v>
      </c>
      <c r="E518" s="53">
        <v>25500</v>
      </c>
      <c r="F518" s="53">
        <v>35500</v>
      </c>
    </row>
    <row r="519" spans="1:6" x14ac:dyDescent="0.25">
      <c r="A519" s="1">
        <v>6197</v>
      </c>
      <c r="B519" t="s">
        <v>686</v>
      </c>
      <c r="C519" t="s">
        <v>302</v>
      </c>
      <c r="D519" t="s">
        <v>250</v>
      </c>
      <c r="E519" s="53">
        <v>26500</v>
      </c>
      <c r="F519" s="53">
        <v>37000</v>
      </c>
    </row>
    <row r="520" spans="1:6" x14ac:dyDescent="0.25">
      <c r="A520" s="1">
        <v>8655</v>
      </c>
      <c r="B520" t="s">
        <v>687</v>
      </c>
      <c r="C520" t="s">
        <v>302</v>
      </c>
      <c r="D520" t="s">
        <v>250</v>
      </c>
      <c r="E520" s="53">
        <v>27000</v>
      </c>
      <c r="F520" s="53">
        <v>37500</v>
      </c>
    </row>
    <row r="521" spans="1:6" x14ac:dyDescent="0.25">
      <c r="A521" s="1">
        <v>9140</v>
      </c>
      <c r="B521" t="s">
        <v>688</v>
      </c>
      <c r="C521" t="s">
        <v>302</v>
      </c>
      <c r="D521" t="s">
        <v>250</v>
      </c>
      <c r="E521" s="53">
        <v>26000</v>
      </c>
      <c r="F521" s="53">
        <v>36500</v>
      </c>
    </row>
    <row r="522" spans="1:6" x14ac:dyDescent="0.25">
      <c r="A522" s="1">
        <v>8177</v>
      </c>
      <c r="B522" t="s">
        <v>689</v>
      </c>
      <c r="C522" t="s">
        <v>302</v>
      </c>
      <c r="D522" t="s">
        <v>250</v>
      </c>
      <c r="E522" s="53">
        <v>25500</v>
      </c>
      <c r="F522" s="53">
        <v>35500</v>
      </c>
    </row>
    <row r="523" spans="1:6" x14ac:dyDescent="0.25">
      <c r="A523" s="1">
        <v>4571</v>
      </c>
      <c r="B523" t="s">
        <v>690</v>
      </c>
      <c r="C523" t="s">
        <v>302</v>
      </c>
      <c r="D523" t="s">
        <v>250</v>
      </c>
      <c r="E523" s="53">
        <v>27500</v>
      </c>
      <c r="F523" s="53">
        <v>38000</v>
      </c>
    </row>
    <row r="524" spans="1:6" x14ac:dyDescent="0.25">
      <c r="A524" s="1">
        <v>4596</v>
      </c>
      <c r="B524" t="s">
        <v>691</v>
      </c>
      <c r="C524" t="s">
        <v>302</v>
      </c>
      <c r="D524" t="s">
        <v>250</v>
      </c>
      <c r="E524" s="53">
        <v>28000</v>
      </c>
      <c r="F524" s="53">
        <v>39000</v>
      </c>
    </row>
    <row r="525" spans="1:6" x14ac:dyDescent="0.25">
      <c r="A525" s="1">
        <v>1672</v>
      </c>
      <c r="B525" t="s">
        <v>692</v>
      </c>
      <c r="C525" t="s">
        <v>302</v>
      </c>
      <c r="D525" t="s">
        <v>249</v>
      </c>
      <c r="E525" s="53">
        <v>18000</v>
      </c>
      <c r="F525" s="53">
        <v>25000</v>
      </c>
    </row>
    <row r="526" spans="1:6" x14ac:dyDescent="0.25">
      <c r="A526" s="1">
        <v>2531</v>
      </c>
      <c r="B526" t="s">
        <v>693</v>
      </c>
      <c r="C526" t="s">
        <v>302</v>
      </c>
      <c r="D526" t="s">
        <v>249</v>
      </c>
      <c r="E526" s="53">
        <v>20000</v>
      </c>
      <c r="F526" s="53">
        <v>27000</v>
      </c>
    </row>
    <row r="527" spans="1:6" x14ac:dyDescent="0.25">
      <c r="A527" s="1">
        <v>9152</v>
      </c>
      <c r="B527" t="s">
        <v>694</v>
      </c>
      <c r="C527" t="s">
        <v>302</v>
      </c>
      <c r="D527" t="s">
        <v>249</v>
      </c>
      <c r="E527" s="53">
        <v>21000</v>
      </c>
      <c r="F527" s="53">
        <v>28000</v>
      </c>
    </row>
    <row r="528" spans="1:6" x14ac:dyDescent="0.25">
      <c r="A528" s="1">
        <v>7606</v>
      </c>
      <c r="B528" t="s">
        <v>695</v>
      </c>
      <c r="C528" t="s">
        <v>302</v>
      </c>
      <c r="D528" t="s">
        <v>249</v>
      </c>
      <c r="E528" s="53">
        <v>19500</v>
      </c>
      <c r="F528" s="53">
        <v>26500</v>
      </c>
    </row>
    <row r="529" spans="1:6" x14ac:dyDescent="0.25">
      <c r="A529" s="1">
        <v>1463</v>
      </c>
      <c r="B529" t="s">
        <v>696</v>
      </c>
      <c r="C529" t="s">
        <v>302</v>
      </c>
      <c r="D529" t="s">
        <v>249</v>
      </c>
      <c r="E529" s="53">
        <v>19000</v>
      </c>
      <c r="F529" s="53">
        <v>26000</v>
      </c>
    </row>
    <row r="530" spans="1:6" x14ac:dyDescent="0.25">
      <c r="A530" s="1">
        <v>3050</v>
      </c>
      <c r="B530" t="s">
        <v>697</v>
      </c>
      <c r="C530" t="s">
        <v>302</v>
      </c>
      <c r="D530" t="s">
        <v>249</v>
      </c>
      <c r="E530" s="53">
        <v>21500</v>
      </c>
      <c r="F530" s="53">
        <v>29000</v>
      </c>
    </row>
    <row r="531" spans="1:6" x14ac:dyDescent="0.25">
      <c r="A531" s="1">
        <v>3477</v>
      </c>
      <c r="B531" t="s">
        <v>698</v>
      </c>
      <c r="C531" t="s">
        <v>302</v>
      </c>
      <c r="D531" t="s">
        <v>249</v>
      </c>
      <c r="E531" s="53">
        <v>20500</v>
      </c>
      <c r="F531" s="53">
        <v>27500</v>
      </c>
    </row>
    <row r="532" spans="1:6" x14ac:dyDescent="0.25">
      <c r="A532" s="1">
        <v>1753</v>
      </c>
      <c r="B532" t="s">
        <v>699</v>
      </c>
      <c r="C532" t="s">
        <v>302</v>
      </c>
      <c r="D532" t="s">
        <v>249</v>
      </c>
      <c r="E532" s="53">
        <v>22000</v>
      </c>
      <c r="F532" s="53">
        <v>30000</v>
      </c>
    </row>
    <row r="533" spans="1:6" x14ac:dyDescent="0.25">
      <c r="A533" s="1">
        <v>6410</v>
      </c>
      <c r="B533" t="s">
        <v>700</v>
      </c>
      <c r="C533" t="s">
        <v>302</v>
      </c>
      <c r="D533" t="s">
        <v>249</v>
      </c>
      <c r="E533" s="53">
        <v>19500</v>
      </c>
      <c r="F533" s="53">
        <v>27000</v>
      </c>
    </row>
    <row r="534" spans="1:6" x14ac:dyDescent="0.25">
      <c r="A534" s="1">
        <v>7279</v>
      </c>
      <c r="B534" t="s">
        <v>701</v>
      </c>
      <c r="C534" t="s">
        <v>302</v>
      </c>
      <c r="D534" t="s">
        <v>248</v>
      </c>
      <c r="E534" s="53">
        <v>25000</v>
      </c>
      <c r="F534" s="53">
        <v>34000</v>
      </c>
    </row>
    <row r="535" spans="1:6" x14ac:dyDescent="0.25">
      <c r="A535" s="1">
        <v>7592</v>
      </c>
      <c r="B535" t="s">
        <v>702</v>
      </c>
      <c r="C535" t="s">
        <v>302</v>
      </c>
      <c r="D535" t="s">
        <v>248</v>
      </c>
      <c r="E535" s="53">
        <v>26000</v>
      </c>
      <c r="F535" s="53">
        <v>35000</v>
      </c>
    </row>
    <row r="536" spans="1:6" x14ac:dyDescent="0.25">
      <c r="A536" s="1">
        <v>8952</v>
      </c>
      <c r="B536" t="s">
        <v>703</v>
      </c>
      <c r="C536" t="s">
        <v>302</v>
      </c>
      <c r="D536" t="s">
        <v>248</v>
      </c>
      <c r="E536" s="53">
        <v>27000</v>
      </c>
      <c r="F536" s="53">
        <v>36500</v>
      </c>
    </row>
    <row r="537" spans="1:6" x14ac:dyDescent="0.25">
      <c r="A537" s="1">
        <v>4532</v>
      </c>
      <c r="B537" t="s">
        <v>704</v>
      </c>
      <c r="C537" t="s">
        <v>302</v>
      </c>
      <c r="D537" t="s">
        <v>248</v>
      </c>
      <c r="E537" s="53">
        <v>26500</v>
      </c>
      <c r="F537" s="53">
        <v>35500</v>
      </c>
    </row>
    <row r="538" spans="1:6" x14ac:dyDescent="0.25">
      <c r="A538" s="1">
        <v>9801</v>
      </c>
      <c r="B538" t="s">
        <v>705</v>
      </c>
      <c r="C538" t="s">
        <v>302</v>
      </c>
      <c r="D538" t="s">
        <v>248</v>
      </c>
      <c r="E538" s="53">
        <v>28000</v>
      </c>
      <c r="F538" s="53">
        <v>37000</v>
      </c>
    </row>
    <row r="539" spans="1:6" x14ac:dyDescent="0.25">
      <c r="A539" s="1">
        <v>5321</v>
      </c>
      <c r="B539" t="s">
        <v>706</v>
      </c>
      <c r="C539" t="s">
        <v>302</v>
      </c>
      <c r="D539" t="s">
        <v>248</v>
      </c>
      <c r="E539" s="53">
        <v>27500</v>
      </c>
      <c r="F539" s="53">
        <v>36000</v>
      </c>
    </row>
    <row r="540" spans="1:6" x14ac:dyDescent="0.25">
      <c r="A540" s="1">
        <v>5981</v>
      </c>
      <c r="B540" t="s">
        <v>707</v>
      </c>
      <c r="C540" t="s">
        <v>302</v>
      </c>
      <c r="D540" t="s">
        <v>248</v>
      </c>
      <c r="E540" s="53">
        <v>28500</v>
      </c>
      <c r="F540" s="53">
        <v>37500</v>
      </c>
    </row>
    <row r="541" spans="1:6" x14ac:dyDescent="0.25">
      <c r="A541" s="1">
        <v>8892</v>
      </c>
      <c r="B541" t="s">
        <v>708</v>
      </c>
      <c r="C541" t="s">
        <v>302</v>
      </c>
      <c r="D541" t="s">
        <v>248</v>
      </c>
      <c r="E541" s="53">
        <v>29000</v>
      </c>
      <c r="F541" s="53">
        <v>38000</v>
      </c>
    </row>
    <row r="542" spans="1:6" x14ac:dyDescent="0.25">
      <c r="A542" s="1">
        <v>2595</v>
      </c>
      <c r="B542" t="s">
        <v>709</v>
      </c>
      <c r="C542" t="s">
        <v>302</v>
      </c>
      <c r="D542" t="s">
        <v>248</v>
      </c>
      <c r="E542" s="53">
        <v>26000</v>
      </c>
      <c r="F542" s="53">
        <v>35000</v>
      </c>
    </row>
    <row r="543" spans="1:6" x14ac:dyDescent="0.25">
      <c r="A543" s="1">
        <v>5332</v>
      </c>
      <c r="B543" t="s">
        <v>710</v>
      </c>
      <c r="C543" t="s">
        <v>303</v>
      </c>
      <c r="D543" t="s">
        <v>270</v>
      </c>
      <c r="E543" s="53">
        <v>10000</v>
      </c>
      <c r="F543" s="53">
        <v>15000</v>
      </c>
    </row>
    <row r="544" spans="1:6" x14ac:dyDescent="0.25">
      <c r="A544" s="1">
        <v>1140</v>
      </c>
      <c r="B544" t="s">
        <v>711</v>
      </c>
      <c r="C544" t="s">
        <v>303</v>
      </c>
      <c r="D544" t="s">
        <v>270</v>
      </c>
      <c r="E544" s="53">
        <v>12000</v>
      </c>
      <c r="F544" s="53">
        <v>17000</v>
      </c>
    </row>
    <row r="545" spans="1:6" x14ac:dyDescent="0.25">
      <c r="A545" s="1">
        <v>8630</v>
      </c>
      <c r="B545" t="s">
        <v>712</v>
      </c>
      <c r="C545" t="s">
        <v>303</v>
      </c>
      <c r="D545" t="s">
        <v>270</v>
      </c>
      <c r="E545" s="53">
        <v>11000</v>
      </c>
      <c r="F545" s="53">
        <v>16000</v>
      </c>
    </row>
    <row r="546" spans="1:6" x14ac:dyDescent="0.25">
      <c r="A546" s="1">
        <v>6604</v>
      </c>
      <c r="B546" t="s">
        <v>713</v>
      </c>
      <c r="C546" t="s">
        <v>303</v>
      </c>
      <c r="D546" t="s">
        <v>270</v>
      </c>
      <c r="E546" s="53">
        <v>12500</v>
      </c>
      <c r="F546" s="53">
        <v>18000</v>
      </c>
    </row>
    <row r="547" spans="1:6" x14ac:dyDescent="0.25">
      <c r="A547" s="1">
        <v>2342</v>
      </c>
      <c r="B547" t="s">
        <v>714</v>
      </c>
      <c r="C547" t="s">
        <v>303</v>
      </c>
      <c r="D547" t="s">
        <v>270</v>
      </c>
      <c r="E547" s="53">
        <v>13000</v>
      </c>
      <c r="F547" s="53">
        <v>19000</v>
      </c>
    </row>
    <row r="548" spans="1:6" x14ac:dyDescent="0.25">
      <c r="A548" s="1">
        <v>1810</v>
      </c>
      <c r="B548" t="s">
        <v>715</v>
      </c>
      <c r="C548" t="s">
        <v>303</v>
      </c>
      <c r="D548" t="s">
        <v>270</v>
      </c>
      <c r="E548" s="53">
        <v>11500</v>
      </c>
      <c r="F548" s="53">
        <v>17500</v>
      </c>
    </row>
    <row r="549" spans="1:6" x14ac:dyDescent="0.25">
      <c r="A549" s="1">
        <v>2730</v>
      </c>
      <c r="B549" t="s">
        <v>716</v>
      </c>
      <c r="C549" t="s">
        <v>303</v>
      </c>
      <c r="D549" t="s">
        <v>270</v>
      </c>
      <c r="E549" s="53">
        <v>12000</v>
      </c>
      <c r="F549" s="53">
        <v>18000</v>
      </c>
    </row>
    <row r="550" spans="1:6" x14ac:dyDescent="0.25">
      <c r="A550" s="1">
        <v>4520</v>
      </c>
      <c r="B550" t="s">
        <v>717</v>
      </c>
      <c r="C550" t="s">
        <v>303</v>
      </c>
      <c r="D550" t="s">
        <v>270</v>
      </c>
      <c r="E550" s="53">
        <v>10500</v>
      </c>
      <c r="F550" s="53">
        <v>15500</v>
      </c>
    </row>
    <row r="551" spans="1:6" x14ac:dyDescent="0.25">
      <c r="A551" s="1">
        <v>2650</v>
      </c>
      <c r="B551" t="s">
        <v>718</v>
      </c>
      <c r="C551" t="s">
        <v>303</v>
      </c>
      <c r="D551" t="s">
        <v>270</v>
      </c>
      <c r="E551" s="53">
        <v>11000</v>
      </c>
      <c r="F551" s="53">
        <v>16500</v>
      </c>
    </row>
    <row r="552" spans="1:6" x14ac:dyDescent="0.25">
      <c r="A552" s="1">
        <v>4251</v>
      </c>
      <c r="B552" t="s">
        <v>719</v>
      </c>
      <c r="C552" t="s">
        <v>303</v>
      </c>
      <c r="D552" t="s">
        <v>269</v>
      </c>
      <c r="E552" s="53">
        <v>15000</v>
      </c>
      <c r="F552" s="53">
        <v>22000</v>
      </c>
    </row>
    <row r="553" spans="1:6" x14ac:dyDescent="0.25">
      <c r="A553" s="1">
        <v>4303</v>
      </c>
      <c r="B553" t="s">
        <v>173</v>
      </c>
      <c r="C553" t="s">
        <v>303</v>
      </c>
      <c r="D553" t="s">
        <v>269</v>
      </c>
      <c r="E553" s="53">
        <v>17000</v>
      </c>
      <c r="F553" s="53">
        <v>24000</v>
      </c>
    </row>
    <row r="554" spans="1:6" x14ac:dyDescent="0.25">
      <c r="A554" s="1">
        <v>4668</v>
      </c>
      <c r="B554" t="s">
        <v>720</v>
      </c>
      <c r="C554" t="s">
        <v>303</v>
      </c>
      <c r="D554" t="s">
        <v>269</v>
      </c>
      <c r="E554" s="53">
        <v>14500</v>
      </c>
      <c r="F554" s="53">
        <v>21500</v>
      </c>
    </row>
    <row r="555" spans="1:6" x14ac:dyDescent="0.25">
      <c r="A555" s="1">
        <v>7769</v>
      </c>
      <c r="B555" t="s">
        <v>178</v>
      </c>
      <c r="C555" t="s">
        <v>303</v>
      </c>
      <c r="D555" t="s">
        <v>269</v>
      </c>
      <c r="E555" s="53">
        <v>16000</v>
      </c>
      <c r="F555" s="53">
        <v>23000</v>
      </c>
    </row>
    <row r="556" spans="1:6" x14ac:dyDescent="0.25">
      <c r="A556" s="1">
        <v>5056</v>
      </c>
      <c r="B556" t="s">
        <v>179</v>
      </c>
      <c r="C556" t="s">
        <v>303</v>
      </c>
      <c r="D556" t="s">
        <v>269</v>
      </c>
      <c r="E556" s="53">
        <v>15500</v>
      </c>
      <c r="F556" s="53">
        <v>22500</v>
      </c>
    </row>
    <row r="557" spans="1:6" x14ac:dyDescent="0.25">
      <c r="A557" s="1">
        <v>2322</v>
      </c>
      <c r="B557" t="s">
        <v>721</v>
      </c>
      <c r="C557" t="s">
        <v>303</v>
      </c>
      <c r="D557" t="s">
        <v>269</v>
      </c>
      <c r="E557" s="53">
        <v>18000</v>
      </c>
      <c r="F557" s="53">
        <v>26000</v>
      </c>
    </row>
    <row r="558" spans="1:6" x14ac:dyDescent="0.25">
      <c r="A558" s="1">
        <v>4042</v>
      </c>
      <c r="B558" t="s">
        <v>295</v>
      </c>
      <c r="C558" t="s">
        <v>303</v>
      </c>
      <c r="D558" t="s">
        <v>269</v>
      </c>
      <c r="E558" s="53">
        <v>15000</v>
      </c>
      <c r="F558" s="53">
        <v>22000</v>
      </c>
    </row>
    <row r="559" spans="1:6" x14ac:dyDescent="0.25">
      <c r="A559" s="1">
        <v>5389</v>
      </c>
      <c r="B559" t="s">
        <v>722</v>
      </c>
      <c r="C559" t="s">
        <v>303</v>
      </c>
      <c r="D559" t="s">
        <v>269</v>
      </c>
      <c r="E559" s="53">
        <v>14000</v>
      </c>
      <c r="F559" s="53">
        <v>21000</v>
      </c>
    </row>
    <row r="560" spans="1:6" x14ac:dyDescent="0.25">
      <c r="A560" s="1">
        <v>6450</v>
      </c>
      <c r="B560" t="s">
        <v>723</v>
      </c>
      <c r="C560" t="s">
        <v>303</v>
      </c>
      <c r="D560" t="s">
        <v>269</v>
      </c>
      <c r="E560" s="53">
        <v>16500</v>
      </c>
      <c r="F560" s="53">
        <v>24000</v>
      </c>
    </row>
    <row r="561" spans="1:6" x14ac:dyDescent="0.25">
      <c r="A561" s="1">
        <v>7941</v>
      </c>
      <c r="B561" t="s">
        <v>724</v>
      </c>
      <c r="C561" t="s">
        <v>303</v>
      </c>
      <c r="D561" t="s">
        <v>268</v>
      </c>
      <c r="E561" s="53">
        <v>20000</v>
      </c>
      <c r="F561" s="53">
        <v>30000</v>
      </c>
    </row>
    <row r="562" spans="1:6" x14ac:dyDescent="0.25">
      <c r="A562" s="1">
        <v>1772</v>
      </c>
      <c r="B562" t="s">
        <v>725</v>
      </c>
      <c r="C562" t="s">
        <v>303</v>
      </c>
      <c r="D562" t="s">
        <v>268</v>
      </c>
      <c r="E562" s="53">
        <v>21000</v>
      </c>
      <c r="F562" s="53">
        <v>31000</v>
      </c>
    </row>
    <row r="563" spans="1:6" x14ac:dyDescent="0.25">
      <c r="A563" s="1">
        <v>8501</v>
      </c>
      <c r="B563" t="s">
        <v>726</v>
      </c>
      <c r="C563" t="s">
        <v>303</v>
      </c>
      <c r="D563" t="s">
        <v>268</v>
      </c>
      <c r="E563" s="53">
        <v>22000</v>
      </c>
      <c r="F563" s="53">
        <v>32000</v>
      </c>
    </row>
    <row r="564" spans="1:6" x14ac:dyDescent="0.25">
      <c r="A564" s="1">
        <v>8413</v>
      </c>
      <c r="B564" t="s">
        <v>727</v>
      </c>
      <c r="C564" t="s">
        <v>303</v>
      </c>
      <c r="D564" t="s">
        <v>268</v>
      </c>
      <c r="E564" s="53">
        <v>20500</v>
      </c>
      <c r="F564" s="53">
        <v>30500</v>
      </c>
    </row>
    <row r="565" spans="1:6" x14ac:dyDescent="0.25">
      <c r="A565" s="1">
        <v>8378</v>
      </c>
      <c r="B565" t="s">
        <v>728</v>
      </c>
      <c r="C565" t="s">
        <v>303</v>
      </c>
      <c r="D565" t="s">
        <v>268</v>
      </c>
      <c r="E565" s="53">
        <v>23000</v>
      </c>
      <c r="F565" s="53">
        <v>33000</v>
      </c>
    </row>
    <row r="566" spans="1:6" x14ac:dyDescent="0.25">
      <c r="A566" s="1">
        <v>2583</v>
      </c>
      <c r="B566" t="s">
        <v>729</v>
      </c>
      <c r="C566" t="s">
        <v>303</v>
      </c>
      <c r="D566" t="s">
        <v>268</v>
      </c>
      <c r="E566" s="53">
        <v>22500</v>
      </c>
      <c r="F566" s="53">
        <v>32500</v>
      </c>
    </row>
    <row r="567" spans="1:6" x14ac:dyDescent="0.25">
      <c r="A567" s="1">
        <v>1988</v>
      </c>
      <c r="B567" t="s">
        <v>730</v>
      </c>
      <c r="C567" t="s">
        <v>303</v>
      </c>
      <c r="D567" t="s">
        <v>268</v>
      </c>
      <c r="E567" s="53">
        <v>21500</v>
      </c>
      <c r="F567" s="53">
        <v>31500</v>
      </c>
    </row>
    <row r="568" spans="1:6" x14ac:dyDescent="0.25">
      <c r="A568" s="1">
        <v>1199</v>
      </c>
      <c r="B568" t="s">
        <v>731</v>
      </c>
      <c r="C568" t="s">
        <v>303</v>
      </c>
      <c r="D568" t="s">
        <v>268</v>
      </c>
      <c r="E568" s="53">
        <v>23500</v>
      </c>
      <c r="F568" s="53">
        <v>33500</v>
      </c>
    </row>
    <row r="569" spans="1:6" x14ac:dyDescent="0.25">
      <c r="A569" s="1">
        <v>2034</v>
      </c>
      <c r="B569" t="s">
        <v>732</v>
      </c>
      <c r="C569" t="s">
        <v>303</v>
      </c>
      <c r="D569" t="s">
        <v>268</v>
      </c>
      <c r="E569" s="53">
        <v>22000</v>
      </c>
      <c r="F569" s="53">
        <v>32000</v>
      </c>
    </row>
    <row r="570" spans="1:6" x14ac:dyDescent="0.25">
      <c r="A570" s="1">
        <v>7430</v>
      </c>
      <c r="B570" t="s">
        <v>733</v>
      </c>
      <c r="C570" t="s">
        <v>303</v>
      </c>
      <c r="D570" t="s">
        <v>267</v>
      </c>
      <c r="E570" s="53">
        <v>25000</v>
      </c>
      <c r="F570" s="53">
        <v>35000</v>
      </c>
    </row>
    <row r="571" spans="1:6" x14ac:dyDescent="0.25">
      <c r="A571" s="1">
        <v>7363</v>
      </c>
      <c r="B571" t="s">
        <v>734</v>
      </c>
      <c r="C571" t="s">
        <v>303</v>
      </c>
      <c r="D571" t="s">
        <v>267</v>
      </c>
      <c r="E571" s="53">
        <v>24000</v>
      </c>
      <c r="F571" s="53">
        <v>34000</v>
      </c>
    </row>
    <row r="572" spans="1:6" x14ac:dyDescent="0.25">
      <c r="A572" s="1">
        <v>7406</v>
      </c>
      <c r="B572" t="s">
        <v>735</v>
      </c>
      <c r="C572" t="s">
        <v>303</v>
      </c>
      <c r="D572" t="s">
        <v>267</v>
      </c>
      <c r="E572" s="53">
        <v>26000</v>
      </c>
      <c r="F572" s="53">
        <v>37000</v>
      </c>
    </row>
    <row r="573" spans="1:6" x14ac:dyDescent="0.25">
      <c r="A573" s="1">
        <v>5909</v>
      </c>
      <c r="B573" t="s">
        <v>736</v>
      </c>
      <c r="C573" t="s">
        <v>303</v>
      </c>
      <c r="D573" t="s">
        <v>267</v>
      </c>
      <c r="E573" s="53">
        <v>25500</v>
      </c>
      <c r="F573" s="53">
        <v>36000</v>
      </c>
    </row>
    <row r="574" spans="1:6" x14ac:dyDescent="0.25">
      <c r="A574" s="1">
        <v>2091</v>
      </c>
      <c r="B574" t="s">
        <v>737</v>
      </c>
      <c r="C574" t="s">
        <v>303</v>
      </c>
      <c r="D574" t="s">
        <v>267</v>
      </c>
      <c r="E574" s="53">
        <v>27000</v>
      </c>
      <c r="F574" s="53">
        <v>38000</v>
      </c>
    </row>
    <row r="575" spans="1:6" x14ac:dyDescent="0.25">
      <c r="A575" s="1">
        <v>3531</v>
      </c>
      <c r="B575" t="s">
        <v>738</v>
      </c>
      <c r="C575" t="s">
        <v>303</v>
      </c>
      <c r="D575" t="s">
        <v>267</v>
      </c>
      <c r="E575" s="53">
        <v>24500</v>
      </c>
      <c r="F575" s="53">
        <v>34500</v>
      </c>
    </row>
    <row r="576" spans="1:6" x14ac:dyDescent="0.25">
      <c r="A576" s="1">
        <v>7264</v>
      </c>
      <c r="B576" t="s">
        <v>739</v>
      </c>
      <c r="C576" t="s">
        <v>303</v>
      </c>
      <c r="D576" t="s">
        <v>267</v>
      </c>
      <c r="E576" s="53">
        <v>26500</v>
      </c>
      <c r="F576" s="53">
        <v>37500</v>
      </c>
    </row>
    <row r="577" spans="1:6" x14ac:dyDescent="0.25">
      <c r="A577" s="1">
        <v>8629</v>
      </c>
      <c r="B577" t="s">
        <v>740</v>
      </c>
      <c r="C577" t="s">
        <v>303</v>
      </c>
      <c r="D577" t="s">
        <v>267</v>
      </c>
      <c r="E577" s="53">
        <v>25000</v>
      </c>
      <c r="F577" s="53">
        <v>35000</v>
      </c>
    </row>
    <row r="578" spans="1:6" x14ac:dyDescent="0.25">
      <c r="A578" s="1">
        <v>5339</v>
      </c>
      <c r="B578" t="s">
        <v>741</v>
      </c>
      <c r="C578" t="s">
        <v>303</v>
      </c>
      <c r="D578" t="s">
        <v>267</v>
      </c>
      <c r="E578" s="53">
        <v>27500</v>
      </c>
      <c r="F578" s="53">
        <v>38500</v>
      </c>
    </row>
    <row r="579" spans="1:6" x14ac:dyDescent="0.25">
      <c r="A579" s="1">
        <v>1128</v>
      </c>
      <c r="B579" t="s">
        <v>742</v>
      </c>
      <c r="C579" t="s">
        <v>303</v>
      </c>
      <c r="D579" t="s">
        <v>266</v>
      </c>
      <c r="E579" s="53">
        <v>18000</v>
      </c>
      <c r="F579" s="53">
        <v>25000</v>
      </c>
    </row>
    <row r="580" spans="1:6" x14ac:dyDescent="0.25">
      <c r="A580" s="1">
        <v>6319</v>
      </c>
      <c r="B580" t="s">
        <v>743</v>
      </c>
      <c r="C580" t="s">
        <v>303</v>
      </c>
      <c r="D580" t="s">
        <v>266</v>
      </c>
      <c r="E580" s="53">
        <v>19000</v>
      </c>
      <c r="F580" s="53">
        <v>26000</v>
      </c>
    </row>
    <row r="581" spans="1:6" x14ac:dyDescent="0.25">
      <c r="A581" s="1">
        <v>9237</v>
      </c>
      <c r="B581" t="s">
        <v>744</v>
      </c>
      <c r="C581" t="s">
        <v>303</v>
      </c>
      <c r="D581" t="s">
        <v>266</v>
      </c>
      <c r="E581" s="53">
        <v>17500</v>
      </c>
      <c r="F581" s="53">
        <v>24500</v>
      </c>
    </row>
    <row r="582" spans="1:6" x14ac:dyDescent="0.25">
      <c r="A582" s="1">
        <v>9188</v>
      </c>
      <c r="B582" t="s">
        <v>745</v>
      </c>
      <c r="C582" t="s">
        <v>303</v>
      </c>
      <c r="D582" t="s">
        <v>266</v>
      </c>
      <c r="E582" s="53">
        <v>18500</v>
      </c>
      <c r="F582" s="53">
        <v>25500</v>
      </c>
    </row>
    <row r="583" spans="1:6" x14ac:dyDescent="0.25">
      <c r="A583" s="1">
        <v>3634</v>
      </c>
      <c r="B583" t="s">
        <v>746</v>
      </c>
      <c r="C583" t="s">
        <v>303</v>
      </c>
      <c r="D583" t="s">
        <v>266</v>
      </c>
      <c r="E583" s="53">
        <v>19500</v>
      </c>
      <c r="F583" s="53">
        <v>27000</v>
      </c>
    </row>
    <row r="584" spans="1:6" x14ac:dyDescent="0.25">
      <c r="A584" s="1">
        <v>2814</v>
      </c>
      <c r="B584" t="s">
        <v>747</v>
      </c>
      <c r="C584" t="s">
        <v>303</v>
      </c>
      <c r="D584" t="s">
        <v>266</v>
      </c>
      <c r="E584" s="53">
        <v>17000</v>
      </c>
      <c r="F584" s="53">
        <v>24000</v>
      </c>
    </row>
    <row r="585" spans="1:6" x14ac:dyDescent="0.25">
      <c r="A585" s="1">
        <v>1218</v>
      </c>
      <c r="B585" t="s">
        <v>748</v>
      </c>
      <c r="C585" t="s">
        <v>303</v>
      </c>
      <c r="D585" t="s">
        <v>266</v>
      </c>
      <c r="E585" s="53">
        <v>20000</v>
      </c>
      <c r="F585" s="53">
        <v>27500</v>
      </c>
    </row>
    <row r="586" spans="1:6" x14ac:dyDescent="0.25">
      <c r="A586" s="1">
        <v>1754</v>
      </c>
      <c r="B586" t="s">
        <v>749</v>
      </c>
      <c r="C586" t="s">
        <v>303</v>
      </c>
      <c r="D586" t="s">
        <v>266</v>
      </c>
      <c r="E586" s="53">
        <v>19000</v>
      </c>
      <c r="F586" s="53">
        <v>26500</v>
      </c>
    </row>
    <row r="587" spans="1:6" x14ac:dyDescent="0.25">
      <c r="A587" s="1">
        <v>8819</v>
      </c>
      <c r="B587" t="s">
        <v>750</v>
      </c>
      <c r="C587" t="s">
        <v>303</v>
      </c>
      <c r="D587" t="s">
        <v>266</v>
      </c>
      <c r="E587" s="53">
        <v>20500</v>
      </c>
      <c r="F587" s="53">
        <v>28000</v>
      </c>
    </row>
    <row r="588" spans="1:6" x14ac:dyDescent="0.25">
      <c r="A588" s="1">
        <v>6724</v>
      </c>
      <c r="B588" t="s">
        <v>751</v>
      </c>
      <c r="C588" t="s">
        <v>303</v>
      </c>
      <c r="D588" t="s">
        <v>265</v>
      </c>
      <c r="E588" s="53">
        <v>15000</v>
      </c>
      <c r="F588" s="53">
        <v>22000</v>
      </c>
    </row>
    <row r="589" spans="1:6" x14ac:dyDescent="0.25">
      <c r="A589" s="1">
        <v>9927</v>
      </c>
      <c r="B589" t="s">
        <v>752</v>
      </c>
      <c r="C589" t="s">
        <v>303</v>
      </c>
      <c r="D589" t="s">
        <v>265</v>
      </c>
      <c r="E589" s="53">
        <v>16000</v>
      </c>
      <c r="F589" s="53">
        <v>23000</v>
      </c>
    </row>
    <row r="590" spans="1:6" x14ac:dyDescent="0.25">
      <c r="A590" s="1">
        <v>6308</v>
      </c>
      <c r="B590" t="s">
        <v>753</v>
      </c>
      <c r="C590" t="s">
        <v>303</v>
      </c>
      <c r="D590" t="s">
        <v>265</v>
      </c>
      <c r="E590" s="53">
        <v>15500</v>
      </c>
      <c r="F590" s="53">
        <v>22500</v>
      </c>
    </row>
    <row r="591" spans="1:6" x14ac:dyDescent="0.25">
      <c r="A591" s="1">
        <v>3910</v>
      </c>
      <c r="B591" t="s">
        <v>754</v>
      </c>
      <c r="C591" t="s">
        <v>303</v>
      </c>
      <c r="D591" t="s">
        <v>265</v>
      </c>
      <c r="E591" s="53">
        <v>14500</v>
      </c>
      <c r="F591" s="53">
        <v>21500</v>
      </c>
    </row>
    <row r="592" spans="1:6" x14ac:dyDescent="0.25">
      <c r="A592" s="1">
        <v>1329</v>
      </c>
      <c r="B592" t="s">
        <v>755</v>
      </c>
      <c r="C592" t="s">
        <v>303</v>
      </c>
      <c r="D592" t="s">
        <v>265</v>
      </c>
      <c r="E592" s="53">
        <v>16500</v>
      </c>
      <c r="F592" s="53">
        <v>23500</v>
      </c>
    </row>
    <row r="593" spans="1:6" x14ac:dyDescent="0.25">
      <c r="A593" s="1">
        <v>3713</v>
      </c>
      <c r="B593" t="s">
        <v>756</v>
      </c>
      <c r="C593" t="s">
        <v>303</v>
      </c>
      <c r="D593" t="s">
        <v>265</v>
      </c>
      <c r="E593" s="53">
        <v>17000</v>
      </c>
      <c r="F593" s="53">
        <v>24000</v>
      </c>
    </row>
    <row r="594" spans="1:6" x14ac:dyDescent="0.25">
      <c r="A594" s="1">
        <v>5762</v>
      </c>
      <c r="B594" t="s">
        <v>757</v>
      </c>
      <c r="C594" t="s">
        <v>303</v>
      </c>
      <c r="D594" t="s">
        <v>265</v>
      </c>
      <c r="E594" s="53">
        <v>15000</v>
      </c>
      <c r="F594" s="53">
        <v>22000</v>
      </c>
    </row>
    <row r="595" spans="1:6" x14ac:dyDescent="0.25">
      <c r="A595" s="1">
        <v>8557</v>
      </c>
      <c r="B595" t="s">
        <v>758</v>
      </c>
      <c r="C595" t="s">
        <v>303</v>
      </c>
      <c r="D595" t="s">
        <v>265</v>
      </c>
      <c r="E595" s="53">
        <v>16000</v>
      </c>
      <c r="F595" s="53">
        <v>23000</v>
      </c>
    </row>
    <row r="596" spans="1:6" x14ac:dyDescent="0.25">
      <c r="A596" s="1">
        <v>2758</v>
      </c>
      <c r="B596" t="s">
        <v>759</v>
      </c>
      <c r="C596" t="s">
        <v>303</v>
      </c>
      <c r="D596" t="s">
        <v>265</v>
      </c>
      <c r="E596" s="53">
        <v>17500</v>
      </c>
      <c r="F596" s="53">
        <v>24500</v>
      </c>
    </row>
    <row r="597" spans="1:6" x14ac:dyDescent="0.25">
      <c r="A597" s="1">
        <v>3356</v>
      </c>
      <c r="B597" t="s">
        <v>760</v>
      </c>
      <c r="C597" t="s">
        <v>303</v>
      </c>
      <c r="D597" t="s">
        <v>264</v>
      </c>
      <c r="E597" s="53">
        <v>12000</v>
      </c>
      <c r="F597" s="53">
        <v>18000</v>
      </c>
    </row>
    <row r="598" spans="1:6" x14ac:dyDescent="0.25">
      <c r="A598" s="1">
        <v>4759</v>
      </c>
      <c r="B598" t="s">
        <v>761</v>
      </c>
      <c r="C598" t="s">
        <v>303</v>
      </c>
      <c r="D598" t="s">
        <v>264</v>
      </c>
      <c r="E598" s="53">
        <v>11500</v>
      </c>
      <c r="F598" s="53">
        <v>17500</v>
      </c>
    </row>
    <row r="599" spans="1:6" x14ac:dyDescent="0.25">
      <c r="A599" s="1">
        <v>3286</v>
      </c>
      <c r="B599" t="s">
        <v>762</v>
      </c>
      <c r="C599" t="s">
        <v>303</v>
      </c>
      <c r="D599" t="s">
        <v>264</v>
      </c>
      <c r="E599" s="53">
        <v>13000</v>
      </c>
      <c r="F599" s="53">
        <v>19000</v>
      </c>
    </row>
    <row r="600" spans="1:6" x14ac:dyDescent="0.25">
      <c r="A600" s="1">
        <v>9153</v>
      </c>
      <c r="B600" t="s">
        <v>763</v>
      </c>
      <c r="C600" t="s">
        <v>303</v>
      </c>
      <c r="D600" t="s">
        <v>264</v>
      </c>
      <c r="E600" s="53">
        <v>12500</v>
      </c>
      <c r="F600" s="53">
        <v>18500</v>
      </c>
    </row>
    <row r="601" spans="1:6" x14ac:dyDescent="0.25">
      <c r="A601" s="1">
        <v>2377</v>
      </c>
      <c r="B601" t="s">
        <v>764</v>
      </c>
      <c r="C601" t="s">
        <v>303</v>
      </c>
      <c r="D601" t="s">
        <v>264</v>
      </c>
      <c r="E601" s="53">
        <v>12000</v>
      </c>
      <c r="F601" s="53">
        <v>18000</v>
      </c>
    </row>
    <row r="602" spans="1:6" x14ac:dyDescent="0.25">
      <c r="A602" s="1">
        <v>5185</v>
      </c>
      <c r="B602" t="s">
        <v>765</v>
      </c>
      <c r="C602" t="s">
        <v>303</v>
      </c>
      <c r="D602" t="s">
        <v>264</v>
      </c>
      <c r="E602" s="53">
        <v>14000</v>
      </c>
      <c r="F602" s="53">
        <v>20000</v>
      </c>
    </row>
    <row r="603" spans="1:6" x14ac:dyDescent="0.25">
      <c r="A603" s="1">
        <v>2072</v>
      </c>
      <c r="B603" t="s">
        <v>766</v>
      </c>
      <c r="C603" t="s">
        <v>303</v>
      </c>
      <c r="D603" t="s">
        <v>264</v>
      </c>
      <c r="E603" s="53">
        <v>11500</v>
      </c>
      <c r="F603" s="53">
        <v>16500</v>
      </c>
    </row>
    <row r="604" spans="1:6" x14ac:dyDescent="0.25">
      <c r="A604" s="1">
        <v>2237</v>
      </c>
      <c r="B604" t="s">
        <v>767</v>
      </c>
      <c r="C604" t="s">
        <v>303</v>
      </c>
      <c r="D604" t="s">
        <v>264</v>
      </c>
      <c r="E604" s="53">
        <v>13500</v>
      </c>
      <c r="F604" s="53">
        <v>19500</v>
      </c>
    </row>
    <row r="605" spans="1:6" x14ac:dyDescent="0.25">
      <c r="A605" s="1">
        <v>9277</v>
      </c>
      <c r="B605" t="s">
        <v>768</v>
      </c>
      <c r="C605" t="s">
        <v>303</v>
      </c>
      <c r="D605" t="s">
        <v>264</v>
      </c>
      <c r="E605" s="53">
        <v>12500</v>
      </c>
      <c r="F605" s="53">
        <v>18500</v>
      </c>
    </row>
    <row r="606" spans="1:6" x14ac:dyDescent="0.25">
      <c r="A606" s="1">
        <v>5472</v>
      </c>
      <c r="B606" t="s">
        <v>769</v>
      </c>
      <c r="C606" t="s">
        <v>303</v>
      </c>
      <c r="D606" t="s">
        <v>263</v>
      </c>
      <c r="E606" s="53">
        <v>8000</v>
      </c>
      <c r="F606" s="53">
        <v>12000</v>
      </c>
    </row>
    <row r="607" spans="1:6" x14ac:dyDescent="0.25">
      <c r="A607" s="1">
        <v>7330</v>
      </c>
      <c r="B607" t="s">
        <v>770</v>
      </c>
      <c r="C607" t="s">
        <v>303</v>
      </c>
      <c r="D607" t="s">
        <v>263</v>
      </c>
      <c r="E607" s="53">
        <v>10000</v>
      </c>
      <c r="F607" s="53">
        <v>15000</v>
      </c>
    </row>
    <row r="608" spans="1:6" x14ac:dyDescent="0.25">
      <c r="A608" s="1">
        <v>8308</v>
      </c>
      <c r="B608" t="s">
        <v>296</v>
      </c>
      <c r="C608" t="s">
        <v>303</v>
      </c>
      <c r="D608" t="s">
        <v>263</v>
      </c>
      <c r="E608" s="53">
        <v>9500</v>
      </c>
      <c r="F608" s="53">
        <v>14000</v>
      </c>
    </row>
    <row r="609" spans="1:6" x14ac:dyDescent="0.25">
      <c r="A609" s="1">
        <v>9597</v>
      </c>
      <c r="B609" t="s">
        <v>297</v>
      </c>
      <c r="C609" t="s">
        <v>303</v>
      </c>
      <c r="D609" t="s">
        <v>263</v>
      </c>
      <c r="E609" s="53">
        <v>11000</v>
      </c>
      <c r="F609" s="53">
        <v>16000</v>
      </c>
    </row>
    <row r="610" spans="1:6" x14ac:dyDescent="0.25">
      <c r="A610" s="1">
        <v>1278</v>
      </c>
      <c r="B610" t="s">
        <v>771</v>
      </c>
      <c r="C610" t="s">
        <v>303</v>
      </c>
      <c r="D610" t="s">
        <v>263</v>
      </c>
      <c r="E610" s="53">
        <v>10500</v>
      </c>
      <c r="F610" s="53">
        <v>15500</v>
      </c>
    </row>
    <row r="611" spans="1:6" x14ac:dyDescent="0.25">
      <c r="A611" s="1">
        <v>7583</v>
      </c>
      <c r="B611" t="s">
        <v>304</v>
      </c>
      <c r="C611" t="s">
        <v>303</v>
      </c>
      <c r="D611" t="s">
        <v>263</v>
      </c>
      <c r="E611" s="53">
        <v>12000</v>
      </c>
      <c r="F611" s="53">
        <v>17000</v>
      </c>
    </row>
    <row r="612" spans="1:6" x14ac:dyDescent="0.25">
      <c r="A612" s="1">
        <v>6369</v>
      </c>
      <c r="B612" t="s">
        <v>772</v>
      </c>
      <c r="C612" t="s">
        <v>303</v>
      </c>
      <c r="D612" t="s">
        <v>263</v>
      </c>
      <c r="E612" s="53">
        <v>11500</v>
      </c>
      <c r="F612" s="53">
        <v>16500</v>
      </c>
    </row>
    <row r="613" spans="1:6" x14ac:dyDescent="0.25">
      <c r="A613" s="1">
        <v>5039</v>
      </c>
      <c r="B613" t="s">
        <v>773</v>
      </c>
      <c r="C613" t="s">
        <v>303</v>
      </c>
      <c r="D613" t="s">
        <v>263</v>
      </c>
      <c r="E613" s="53">
        <v>10500</v>
      </c>
      <c r="F613" s="53">
        <v>15500</v>
      </c>
    </row>
    <row r="614" spans="1:6" x14ac:dyDescent="0.25">
      <c r="A614" s="1">
        <v>8864</v>
      </c>
      <c r="B614" t="s">
        <v>774</v>
      </c>
      <c r="C614" t="s">
        <v>303</v>
      </c>
      <c r="D614" t="s">
        <v>263</v>
      </c>
      <c r="E614" s="53">
        <v>9000</v>
      </c>
      <c r="F614" s="53">
        <v>13000</v>
      </c>
    </row>
    <row r="615" spans="1:6" x14ac:dyDescent="0.25">
      <c r="A615" s="1">
        <v>1024</v>
      </c>
      <c r="B615" t="s">
        <v>775</v>
      </c>
      <c r="C615" t="s">
        <v>303</v>
      </c>
      <c r="D615" t="s">
        <v>262</v>
      </c>
      <c r="E615" s="53">
        <v>20000</v>
      </c>
      <c r="F615" s="53">
        <v>28000</v>
      </c>
    </row>
    <row r="616" spans="1:6" x14ac:dyDescent="0.25">
      <c r="A616" s="1">
        <v>6925</v>
      </c>
      <c r="B616" t="s">
        <v>776</v>
      </c>
      <c r="C616" t="s">
        <v>303</v>
      </c>
      <c r="D616" t="s">
        <v>262</v>
      </c>
      <c r="E616" s="53">
        <v>21000</v>
      </c>
      <c r="F616" s="53">
        <v>29000</v>
      </c>
    </row>
    <row r="617" spans="1:6" x14ac:dyDescent="0.25">
      <c r="A617" s="1">
        <v>1449</v>
      </c>
      <c r="B617" t="s">
        <v>777</v>
      </c>
      <c r="C617" t="s">
        <v>303</v>
      </c>
      <c r="D617" t="s">
        <v>262</v>
      </c>
      <c r="E617" s="53">
        <v>22000</v>
      </c>
      <c r="F617" s="53">
        <v>30000</v>
      </c>
    </row>
    <row r="618" spans="1:6" x14ac:dyDescent="0.25">
      <c r="A618" s="1">
        <v>9271</v>
      </c>
      <c r="B618" t="s">
        <v>778</v>
      </c>
      <c r="C618" t="s">
        <v>303</v>
      </c>
      <c r="D618" t="s">
        <v>262</v>
      </c>
      <c r="E618" s="53">
        <v>23000</v>
      </c>
      <c r="F618" s="53">
        <v>31000</v>
      </c>
    </row>
    <row r="619" spans="1:6" x14ac:dyDescent="0.25">
      <c r="A619" s="1">
        <v>3895</v>
      </c>
      <c r="B619" t="s">
        <v>779</v>
      </c>
      <c r="C619" t="s">
        <v>303</v>
      </c>
      <c r="D619" t="s">
        <v>262</v>
      </c>
      <c r="E619" s="53">
        <v>21500</v>
      </c>
      <c r="F619" s="53">
        <v>29500</v>
      </c>
    </row>
    <row r="620" spans="1:6" x14ac:dyDescent="0.25">
      <c r="A620" s="1">
        <v>3349</v>
      </c>
      <c r="B620" t="s">
        <v>780</v>
      </c>
      <c r="C620" t="s">
        <v>303</v>
      </c>
      <c r="D620" t="s">
        <v>262</v>
      </c>
      <c r="E620" s="53">
        <v>20500</v>
      </c>
      <c r="F620" s="53">
        <v>28500</v>
      </c>
    </row>
    <row r="621" spans="1:6" x14ac:dyDescent="0.25">
      <c r="A621" s="1">
        <v>6200</v>
      </c>
      <c r="B621" t="s">
        <v>781</v>
      </c>
      <c r="C621" t="s">
        <v>303</v>
      </c>
      <c r="D621" t="s">
        <v>262</v>
      </c>
      <c r="E621" s="53">
        <v>22500</v>
      </c>
      <c r="F621" s="53">
        <v>31000</v>
      </c>
    </row>
    <row r="622" spans="1:6" x14ac:dyDescent="0.25">
      <c r="A622" s="1">
        <v>2219</v>
      </c>
      <c r="B622" t="s">
        <v>782</v>
      </c>
      <c r="C622" t="s">
        <v>303</v>
      </c>
      <c r="D622" t="s">
        <v>262</v>
      </c>
      <c r="E622" s="53">
        <v>21000</v>
      </c>
      <c r="F622" s="53">
        <v>29000</v>
      </c>
    </row>
    <row r="623" spans="1:6" x14ac:dyDescent="0.25">
      <c r="A623" s="1">
        <v>5469</v>
      </c>
      <c r="B623" t="s">
        <v>783</v>
      </c>
      <c r="C623" t="s">
        <v>303</v>
      </c>
      <c r="D623" t="s">
        <v>262</v>
      </c>
      <c r="E623" s="53">
        <v>23500</v>
      </c>
      <c r="F623" s="53">
        <v>32000</v>
      </c>
    </row>
    <row r="624" spans="1:6" x14ac:dyDescent="0.25">
      <c r="A624" s="1">
        <v>9257</v>
      </c>
      <c r="B624" t="s">
        <v>784</v>
      </c>
      <c r="C624" t="s">
        <v>303</v>
      </c>
      <c r="D624" t="s">
        <v>261</v>
      </c>
      <c r="E624" s="53">
        <v>15000</v>
      </c>
      <c r="F624" s="53">
        <v>22000</v>
      </c>
    </row>
    <row r="625" spans="1:6" x14ac:dyDescent="0.25">
      <c r="A625" s="1">
        <v>9627</v>
      </c>
      <c r="B625" t="s">
        <v>785</v>
      </c>
      <c r="C625" t="s">
        <v>303</v>
      </c>
      <c r="D625" t="s">
        <v>261</v>
      </c>
      <c r="E625" s="53">
        <v>16000</v>
      </c>
      <c r="F625" s="53">
        <v>23000</v>
      </c>
    </row>
    <row r="626" spans="1:6" x14ac:dyDescent="0.25">
      <c r="A626" s="1">
        <v>6535</v>
      </c>
      <c r="B626" t="s">
        <v>786</v>
      </c>
      <c r="C626" t="s">
        <v>303</v>
      </c>
      <c r="D626" t="s">
        <v>261</v>
      </c>
      <c r="E626" s="53">
        <v>14500</v>
      </c>
      <c r="F626" s="53">
        <v>21500</v>
      </c>
    </row>
    <row r="627" spans="1:6" x14ac:dyDescent="0.25">
      <c r="A627" s="1">
        <v>4317</v>
      </c>
      <c r="B627" t="s">
        <v>787</v>
      </c>
      <c r="C627" t="s">
        <v>303</v>
      </c>
      <c r="D627" t="s">
        <v>261</v>
      </c>
      <c r="E627" s="53">
        <v>15500</v>
      </c>
      <c r="F627" s="53">
        <v>22500</v>
      </c>
    </row>
    <row r="628" spans="1:6" x14ac:dyDescent="0.25">
      <c r="A628" s="1">
        <v>7401</v>
      </c>
      <c r="B628" t="s">
        <v>788</v>
      </c>
      <c r="C628" t="s">
        <v>303</v>
      </c>
      <c r="D628" t="s">
        <v>261</v>
      </c>
      <c r="E628" s="53">
        <v>16500</v>
      </c>
      <c r="F628" s="53">
        <v>23500</v>
      </c>
    </row>
    <row r="629" spans="1:6" x14ac:dyDescent="0.25">
      <c r="A629" s="1">
        <v>4556</v>
      </c>
      <c r="B629" t="s">
        <v>789</v>
      </c>
      <c r="C629" t="s">
        <v>303</v>
      </c>
      <c r="D629" t="s">
        <v>261</v>
      </c>
      <c r="E629" s="53">
        <v>14000</v>
      </c>
      <c r="F629" s="53">
        <v>21000</v>
      </c>
    </row>
    <row r="630" spans="1:6" x14ac:dyDescent="0.25">
      <c r="A630" s="1">
        <v>8738</v>
      </c>
      <c r="B630" t="s">
        <v>790</v>
      </c>
      <c r="C630" t="s">
        <v>303</v>
      </c>
      <c r="D630" t="s">
        <v>261</v>
      </c>
      <c r="E630" s="53">
        <v>15000</v>
      </c>
      <c r="F630" s="53">
        <v>22000</v>
      </c>
    </row>
    <row r="631" spans="1:6" x14ac:dyDescent="0.25">
      <c r="A631" s="1">
        <v>7034</v>
      </c>
      <c r="B631" t="s">
        <v>791</v>
      </c>
      <c r="C631" t="s">
        <v>303</v>
      </c>
      <c r="D631" t="s">
        <v>261</v>
      </c>
      <c r="E631" s="53">
        <v>16000</v>
      </c>
      <c r="F631" s="53">
        <v>23000</v>
      </c>
    </row>
    <row r="632" spans="1:6" x14ac:dyDescent="0.25">
      <c r="A632" s="1">
        <v>1682</v>
      </c>
      <c r="B632" t="s">
        <v>792</v>
      </c>
      <c r="C632" t="s">
        <v>303</v>
      </c>
      <c r="D632" t="s">
        <v>261</v>
      </c>
      <c r="E632" s="53">
        <v>15500</v>
      </c>
      <c r="F632" s="53">
        <v>22500</v>
      </c>
    </row>
    <row r="633" spans="1:6" x14ac:dyDescent="0.25">
      <c r="A633" s="1">
        <v>3797</v>
      </c>
      <c r="B633" t="s">
        <v>793</v>
      </c>
      <c r="C633" t="s">
        <v>303</v>
      </c>
      <c r="D633" t="s">
        <v>260</v>
      </c>
      <c r="E633" s="53">
        <v>20000</v>
      </c>
      <c r="F633" s="53">
        <v>27000</v>
      </c>
    </row>
    <row r="634" spans="1:6" x14ac:dyDescent="0.25">
      <c r="A634" s="1">
        <v>7169</v>
      </c>
      <c r="B634" t="s">
        <v>794</v>
      </c>
      <c r="C634" t="s">
        <v>303</v>
      </c>
      <c r="D634" t="s">
        <v>260</v>
      </c>
      <c r="E634" s="53">
        <v>18500</v>
      </c>
      <c r="F634" s="53">
        <v>25500</v>
      </c>
    </row>
    <row r="635" spans="1:6" x14ac:dyDescent="0.25">
      <c r="A635" s="1">
        <v>7616</v>
      </c>
      <c r="B635" t="s">
        <v>795</v>
      </c>
      <c r="C635" t="s">
        <v>303</v>
      </c>
      <c r="D635" t="s">
        <v>260</v>
      </c>
      <c r="E635" s="53">
        <v>21000</v>
      </c>
      <c r="F635" s="53">
        <v>28000</v>
      </c>
    </row>
    <row r="636" spans="1:6" x14ac:dyDescent="0.25">
      <c r="A636" s="1">
        <v>5095</v>
      </c>
      <c r="B636" t="s">
        <v>796</v>
      </c>
      <c r="C636" t="s">
        <v>303</v>
      </c>
      <c r="D636" t="s">
        <v>260</v>
      </c>
      <c r="E636" s="53">
        <v>19500</v>
      </c>
      <c r="F636" s="53">
        <v>26500</v>
      </c>
    </row>
    <row r="637" spans="1:6" x14ac:dyDescent="0.25">
      <c r="A637" s="1">
        <v>9001</v>
      </c>
      <c r="B637" t="s">
        <v>797</v>
      </c>
      <c r="C637" t="s">
        <v>303</v>
      </c>
      <c r="D637" t="s">
        <v>260</v>
      </c>
      <c r="E637" s="53">
        <v>20500</v>
      </c>
      <c r="F637" s="53">
        <v>27500</v>
      </c>
    </row>
    <row r="638" spans="1:6" x14ac:dyDescent="0.25">
      <c r="A638" s="1">
        <v>1233</v>
      </c>
      <c r="B638" t="s">
        <v>798</v>
      </c>
      <c r="C638" t="s">
        <v>303</v>
      </c>
      <c r="D638" t="s">
        <v>260</v>
      </c>
      <c r="E638" s="53">
        <v>19000</v>
      </c>
      <c r="F638" s="53">
        <v>26000</v>
      </c>
    </row>
    <row r="639" spans="1:6" x14ac:dyDescent="0.25">
      <c r="A639" s="1">
        <v>6051</v>
      </c>
      <c r="B639" t="s">
        <v>799</v>
      </c>
      <c r="C639" t="s">
        <v>303</v>
      </c>
      <c r="D639" t="s">
        <v>260</v>
      </c>
      <c r="E639" s="53">
        <v>21500</v>
      </c>
      <c r="F639" s="53">
        <v>28500</v>
      </c>
    </row>
    <row r="640" spans="1:6" x14ac:dyDescent="0.25">
      <c r="A640" s="1">
        <v>9475</v>
      </c>
      <c r="B640" t="s">
        <v>800</v>
      </c>
      <c r="C640" t="s">
        <v>303</v>
      </c>
      <c r="D640" t="s">
        <v>260</v>
      </c>
      <c r="E640" s="53">
        <v>20000</v>
      </c>
      <c r="F640" s="53">
        <v>27000</v>
      </c>
    </row>
    <row r="641" spans="1:6" x14ac:dyDescent="0.25">
      <c r="A641" s="1">
        <v>6215</v>
      </c>
      <c r="B641" t="s">
        <v>801</v>
      </c>
      <c r="C641" t="s">
        <v>303</v>
      </c>
      <c r="D641" t="s">
        <v>260</v>
      </c>
      <c r="E641" s="63">
        <v>22000</v>
      </c>
      <c r="F641" s="63">
        <v>29000</v>
      </c>
    </row>
    <row r="642" spans="1:6" x14ac:dyDescent="0.25">
      <c r="A642" s="1">
        <v>3127</v>
      </c>
      <c r="B642" t="s">
        <v>802</v>
      </c>
      <c r="C642" t="s">
        <v>303</v>
      </c>
      <c r="D642" t="s">
        <v>259</v>
      </c>
      <c r="E642" s="63">
        <v>7000</v>
      </c>
      <c r="F642" s="63">
        <v>10000</v>
      </c>
    </row>
    <row r="643" spans="1:6" x14ac:dyDescent="0.25">
      <c r="A643" s="1">
        <v>9571</v>
      </c>
      <c r="B643" t="s">
        <v>803</v>
      </c>
      <c r="C643" t="s">
        <v>303</v>
      </c>
      <c r="D643" t="s">
        <v>259</v>
      </c>
      <c r="E643" s="63">
        <v>8000</v>
      </c>
      <c r="F643" s="63">
        <v>11000</v>
      </c>
    </row>
    <row r="644" spans="1:6" x14ac:dyDescent="0.25">
      <c r="A644" s="1">
        <v>2257</v>
      </c>
      <c r="B644" t="s">
        <v>804</v>
      </c>
      <c r="C644" t="s">
        <v>303</v>
      </c>
      <c r="D644" t="s">
        <v>259</v>
      </c>
      <c r="E644" s="63">
        <v>8500</v>
      </c>
      <c r="F644" s="63">
        <v>11500</v>
      </c>
    </row>
    <row r="645" spans="1:6" x14ac:dyDescent="0.25">
      <c r="A645" s="1">
        <v>3423</v>
      </c>
      <c r="B645" t="s">
        <v>805</v>
      </c>
      <c r="C645" t="s">
        <v>303</v>
      </c>
      <c r="D645" t="s">
        <v>259</v>
      </c>
      <c r="E645" s="63">
        <v>7500</v>
      </c>
      <c r="F645" s="63">
        <v>10500</v>
      </c>
    </row>
    <row r="646" spans="1:6" x14ac:dyDescent="0.25">
      <c r="A646" s="1">
        <v>1220</v>
      </c>
      <c r="B646" t="s">
        <v>806</v>
      </c>
      <c r="C646" t="s">
        <v>303</v>
      </c>
      <c r="D646" t="s">
        <v>259</v>
      </c>
      <c r="E646" s="63">
        <v>9000</v>
      </c>
      <c r="F646" s="63">
        <v>12000</v>
      </c>
    </row>
    <row r="647" spans="1:6" x14ac:dyDescent="0.25">
      <c r="A647" s="1">
        <v>9687</v>
      </c>
      <c r="B647" t="s">
        <v>807</v>
      </c>
      <c r="C647" t="s">
        <v>303</v>
      </c>
      <c r="D647" t="s">
        <v>259</v>
      </c>
      <c r="E647" s="63">
        <v>8500</v>
      </c>
      <c r="F647" s="63">
        <v>11500</v>
      </c>
    </row>
    <row r="648" spans="1:6" x14ac:dyDescent="0.25">
      <c r="A648" s="1">
        <v>6070</v>
      </c>
      <c r="B648" t="s">
        <v>808</v>
      </c>
      <c r="C648" t="s">
        <v>303</v>
      </c>
      <c r="D648" t="s">
        <v>259</v>
      </c>
      <c r="E648" s="63">
        <v>8000</v>
      </c>
      <c r="F648" s="63">
        <v>11000</v>
      </c>
    </row>
    <row r="649" spans="1:6" x14ac:dyDescent="0.25">
      <c r="A649" s="1">
        <v>3275</v>
      </c>
      <c r="B649" t="s">
        <v>809</v>
      </c>
      <c r="C649" t="s">
        <v>303</v>
      </c>
      <c r="D649" t="s">
        <v>259</v>
      </c>
      <c r="E649" s="63">
        <v>7500</v>
      </c>
      <c r="F649" s="63">
        <v>10500</v>
      </c>
    </row>
    <row r="650" spans="1:6" x14ac:dyDescent="0.25">
      <c r="A650" s="1">
        <v>2185</v>
      </c>
      <c r="B650" t="s">
        <v>810</v>
      </c>
      <c r="C650" t="s">
        <v>303</v>
      </c>
      <c r="D650" t="s">
        <v>259</v>
      </c>
      <c r="E650" s="63">
        <v>8500</v>
      </c>
      <c r="F650" s="63">
        <v>11500</v>
      </c>
    </row>
  </sheetData>
  <mergeCells count="3">
    <mergeCell ref="A1:F1"/>
    <mergeCell ref="J1:K1"/>
    <mergeCell ref="N1:O1"/>
  </mergeCells>
  <dataValidations count="7">
    <dataValidation type="list" allowBlank="1" showInputMessage="1" showErrorMessage="1" sqref="D34 D3">
      <formula1>Subcategory1</formula1>
    </dataValidation>
    <dataValidation type="list" allowBlank="1" showInputMessage="1" showErrorMessage="1" sqref="D578 D543">
      <formula1>Subcategory6</formula1>
    </dataValidation>
    <dataValidation type="list" allowBlank="1" showInputMessage="1" showErrorMessage="1" sqref="C3:C50000">
      <formula1>Categories</formula1>
    </dataValidation>
    <dataValidation type="list" allowBlank="1" showInputMessage="1" showErrorMessage="1" sqref="D111:D112">
      <formula1>Subcategory2</formula1>
    </dataValidation>
    <dataValidation type="list" allowBlank="1" showInputMessage="1" showErrorMessage="1" sqref="D219">
      <formula1>Subcategory3</formula1>
    </dataValidation>
    <dataValidation type="list" allowBlank="1" showInputMessage="1" showErrorMessage="1" sqref="D327">
      <formula1>Subcategory4</formula1>
    </dataValidation>
    <dataValidation type="list" allowBlank="1" showInputMessage="1" showErrorMessage="1" sqref="D435">
      <formula1>Subcategory5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s"/>
  <dimension ref="A1:Q34"/>
  <sheetViews>
    <sheetView topLeftCell="B1" workbookViewId="0">
      <selection activeCell="J15" sqref="J15"/>
    </sheetView>
  </sheetViews>
  <sheetFormatPr defaultRowHeight="15" x14ac:dyDescent="0.25"/>
  <cols>
    <col min="1" max="1" width="8.42578125" bestFit="1" customWidth="1"/>
    <col min="2" max="2" width="14.85546875" bestFit="1" customWidth="1"/>
    <col min="3" max="3" width="10.28515625" bestFit="1" customWidth="1"/>
    <col min="4" max="4" width="7.42578125" bestFit="1" customWidth="1"/>
    <col min="5" max="5" width="24.5703125" bestFit="1" customWidth="1"/>
    <col min="6" max="6" width="13.42578125" bestFit="1" customWidth="1"/>
    <col min="7" max="7" width="9.85546875" style="62" bestFit="1" customWidth="1"/>
    <col min="11" max="11" width="10.28515625" bestFit="1" customWidth="1"/>
    <col min="12" max="12" width="17.28515625" bestFit="1" customWidth="1"/>
    <col min="15" max="15" width="14.85546875" bestFit="1" customWidth="1"/>
  </cols>
  <sheetData>
    <row r="1" spans="1:17" x14ac:dyDescent="0.25">
      <c r="A1" s="111" t="s">
        <v>19</v>
      </c>
      <c r="B1" s="111"/>
      <c r="C1" s="111"/>
      <c r="D1" s="111"/>
      <c r="E1" s="111"/>
      <c r="F1" s="111"/>
      <c r="G1" s="111"/>
      <c r="K1" s="112" t="s">
        <v>49</v>
      </c>
      <c r="L1" s="112"/>
      <c r="M1" s="80"/>
      <c r="N1" s="80"/>
      <c r="O1" s="112" t="s">
        <v>50</v>
      </c>
      <c r="P1" s="112"/>
      <c r="Q1" s="112"/>
    </row>
    <row r="2" spans="1:17" x14ac:dyDescent="0.25">
      <c r="A2" s="67" t="s">
        <v>9</v>
      </c>
      <c r="B2" s="67" t="s">
        <v>31</v>
      </c>
      <c r="C2" s="67" t="s">
        <v>18</v>
      </c>
      <c r="D2" s="67" t="s">
        <v>21</v>
      </c>
      <c r="E2" s="67" t="s">
        <v>48</v>
      </c>
      <c r="F2" s="67" t="s">
        <v>0</v>
      </c>
      <c r="G2" s="67" t="s">
        <v>15</v>
      </c>
      <c r="K2" s="79" t="s">
        <v>18</v>
      </c>
      <c r="L2" s="79" t="s">
        <v>48</v>
      </c>
      <c r="M2" s="80"/>
      <c r="N2" s="80"/>
      <c r="O2" s="76" t="s">
        <v>31</v>
      </c>
      <c r="P2" s="76" t="s">
        <v>48</v>
      </c>
      <c r="Q2" s="76" t="s">
        <v>9</v>
      </c>
    </row>
    <row r="3" spans="1:17" x14ac:dyDescent="0.25">
      <c r="A3" s="1">
        <v>10000</v>
      </c>
      <c r="B3" s="2">
        <v>45495.567129629628</v>
      </c>
      <c r="C3" t="s">
        <v>77</v>
      </c>
      <c r="D3" t="s">
        <v>25</v>
      </c>
      <c r="F3" t="s">
        <v>93</v>
      </c>
      <c r="K3" s="79" t="str">
        <f>POS!B1</f>
        <v>PURCHASE</v>
      </c>
      <c r="L3" s="80" t="s">
        <v>823</v>
      </c>
      <c r="M3" s="80"/>
      <c r="N3" s="80"/>
      <c r="O3" s="88">
        <v>45494.839537037034</v>
      </c>
      <c r="P3" s="83" t="s">
        <v>818</v>
      </c>
      <c r="Q3" s="89">
        <v>10001</v>
      </c>
    </row>
    <row r="4" spans="1:17" x14ac:dyDescent="0.25">
      <c r="A4" s="1">
        <v>10001</v>
      </c>
      <c r="B4" s="2">
        <v>45494.839537037034</v>
      </c>
      <c r="C4" t="s">
        <v>77</v>
      </c>
      <c r="D4" t="s">
        <v>25</v>
      </c>
      <c r="E4" t="s">
        <v>818</v>
      </c>
      <c r="F4" t="s">
        <v>93</v>
      </c>
      <c r="O4" s="88"/>
      <c r="P4" s="83"/>
      <c r="Q4" s="89"/>
    </row>
    <row r="5" spans="1:17" x14ac:dyDescent="0.25">
      <c r="A5" s="1"/>
      <c r="B5" s="2"/>
      <c r="O5" s="2"/>
      <c r="Q5" s="1"/>
    </row>
    <row r="6" spans="1:17" x14ac:dyDescent="0.25">
      <c r="A6" s="1"/>
      <c r="B6" s="2"/>
      <c r="O6" s="2"/>
      <c r="Q6" s="1"/>
    </row>
    <row r="7" spans="1:17" x14ac:dyDescent="0.25">
      <c r="A7" s="1"/>
      <c r="B7" s="2"/>
    </row>
    <row r="8" spans="1:17" x14ac:dyDescent="0.25">
      <c r="A8" s="1"/>
      <c r="B8" s="2"/>
    </row>
    <row r="9" spans="1:17" x14ac:dyDescent="0.25">
      <c r="A9" s="1"/>
      <c r="B9" s="2"/>
    </row>
    <row r="10" spans="1:17" x14ac:dyDescent="0.25">
      <c r="A10" s="1"/>
      <c r="B10" s="2"/>
    </row>
    <row r="11" spans="1:17" x14ac:dyDescent="0.25">
      <c r="A11" s="1"/>
      <c r="B11" s="2"/>
    </row>
    <row r="12" spans="1:17" x14ac:dyDescent="0.25">
      <c r="A12" s="1"/>
      <c r="B12" s="2"/>
    </row>
    <row r="13" spans="1:17" x14ac:dyDescent="0.25">
      <c r="A13" s="1"/>
      <c r="B13" s="2"/>
    </row>
    <row r="14" spans="1:17" x14ac:dyDescent="0.25">
      <c r="A14" s="1"/>
      <c r="B14" s="2"/>
    </row>
    <row r="15" spans="1:17" x14ac:dyDescent="0.25">
      <c r="A15" s="1"/>
      <c r="B15" s="2"/>
    </row>
    <row r="16" spans="1:1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</sheetData>
  <mergeCells count="3">
    <mergeCell ref="O1:Q1"/>
    <mergeCell ref="K1:L1"/>
    <mergeCell ref="A1: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Items"/>
  <dimension ref="A1:W11"/>
  <sheetViews>
    <sheetView topLeftCell="E1" workbookViewId="0">
      <selection activeCell="P2" sqref="P2:W4"/>
    </sheetView>
  </sheetViews>
  <sheetFormatPr defaultRowHeight="15" x14ac:dyDescent="0.25"/>
  <cols>
    <col min="2" max="2" width="10.28515625" bestFit="1" customWidth="1"/>
    <col min="5" max="5" width="13.7109375" bestFit="1" customWidth="1"/>
    <col min="7" max="7" width="10.85546875" style="62" bestFit="1" customWidth="1"/>
    <col min="8" max="8" width="10.42578125" bestFit="1" customWidth="1"/>
    <col min="9" max="9" width="11.85546875" style="62" bestFit="1" customWidth="1"/>
    <col min="10" max="10" width="10.42578125" bestFit="1" customWidth="1"/>
    <col min="23" max="23" width="10.42578125" bestFit="1" customWidth="1"/>
  </cols>
  <sheetData>
    <row r="1" spans="1:23" x14ac:dyDescent="0.25">
      <c r="A1" s="111" t="s">
        <v>61</v>
      </c>
      <c r="B1" s="111"/>
      <c r="C1" s="111"/>
      <c r="D1" s="111"/>
      <c r="E1" s="111"/>
      <c r="F1" s="111"/>
      <c r="G1" s="111"/>
      <c r="H1" s="111"/>
      <c r="I1" s="111"/>
      <c r="J1" s="111"/>
      <c r="N1" s="112" t="s">
        <v>49</v>
      </c>
      <c r="O1" s="112"/>
      <c r="P1" s="80"/>
      <c r="Q1" s="112" t="s">
        <v>50</v>
      </c>
      <c r="R1" s="112"/>
      <c r="S1" s="112"/>
      <c r="T1" s="112"/>
      <c r="U1" s="112"/>
      <c r="V1" s="112"/>
      <c r="W1" s="112"/>
    </row>
    <row r="2" spans="1:23" x14ac:dyDescent="0.25">
      <c r="A2" s="71" t="s">
        <v>9</v>
      </c>
      <c r="B2" s="71" t="s">
        <v>18</v>
      </c>
      <c r="C2" s="71" t="s">
        <v>60</v>
      </c>
      <c r="D2" s="71" t="s">
        <v>59</v>
      </c>
      <c r="E2" s="71" t="s">
        <v>2</v>
      </c>
      <c r="F2" s="71" t="s">
        <v>3</v>
      </c>
      <c r="G2" s="71" t="s">
        <v>4</v>
      </c>
      <c r="H2" s="71" t="s">
        <v>5</v>
      </c>
      <c r="I2" s="71" t="s">
        <v>6</v>
      </c>
      <c r="J2" s="71" t="s">
        <v>51</v>
      </c>
      <c r="N2" s="79" t="s">
        <v>9</v>
      </c>
      <c r="O2" s="79" t="s">
        <v>18</v>
      </c>
      <c r="P2" s="80"/>
      <c r="Q2" s="81" t="s">
        <v>60</v>
      </c>
      <c r="R2" s="81" t="s">
        <v>59</v>
      </c>
      <c r="S2" s="81" t="s">
        <v>2</v>
      </c>
      <c r="T2" s="81" t="s">
        <v>3</v>
      </c>
      <c r="U2" s="81" t="s">
        <v>4</v>
      </c>
      <c r="V2" s="81" t="s">
        <v>5</v>
      </c>
      <c r="W2" s="81" t="s">
        <v>51</v>
      </c>
    </row>
    <row r="3" spans="1:23" x14ac:dyDescent="0.25">
      <c r="A3">
        <v>10000</v>
      </c>
      <c r="B3" t="s">
        <v>77</v>
      </c>
      <c r="C3">
        <v>3</v>
      </c>
      <c r="D3">
        <v>9316</v>
      </c>
      <c r="E3" t="s">
        <v>96</v>
      </c>
      <c r="G3" s="62">
        <v>15000</v>
      </c>
      <c r="J3">
        <v>7</v>
      </c>
      <c r="N3" s="79">
        <f>POS!P4</f>
        <v>10002</v>
      </c>
      <c r="O3" s="79" t="s">
        <v>63</v>
      </c>
      <c r="P3" s="80"/>
      <c r="Q3" s="83">
        <v>3</v>
      </c>
      <c r="R3" s="83">
        <v>9316</v>
      </c>
      <c r="S3" s="83" t="s">
        <v>96</v>
      </c>
      <c r="T3" s="83">
        <v>1</v>
      </c>
      <c r="U3" s="90">
        <v>15000</v>
      </c>
      <c r="V3" s="83"/>
      <c r="W3" s="83">
        <v>7</v>
      </c>
    </row>
    <row r="4" spans="1:23" x14ac:dyDescent="0.25">
      <c r="A4">
        <v>10000</v>
      </c>
      <c r="B4" t="s">
        <v>77</v>
      </c>
      <c r="C4">
        <v>4</v>
      </c>
      <c r="D4">
        <v>5274</v>
      </c>
      <c r="E4" t="s">
        <v>97</v>
      </c>
      <c r="G4" s="62">
        <v>20000</v>
      </c>
      <c r="J4">
        <v>8</v>
      </c>
      <c r="N4" s="80"/>
      <c r="O4" s="80"/>
      <c r="P4" s="80"/>
      <c r="Q4" s="83">
        <v>4</v>
      </c>
      <c r="R4" s="83">
        <v>5274</v>
      </c>
      <c r="S4" s="83" t="s">
        <v>97</v>
      </c>
      <c r="T4" s="83">
        <v>1</v>
      </c>
      <c r="U4" s="90">
        <v>20000</v>
      </c>
      <c r="V4" s="83"/>
      <c r="W4" s="83">
        <v>8</v>
      </c>
    </row>
    <row r="5" spans="1:23" x14ac:dyDescent="0.25">
      <c r="A5">
        <v>10001</v>
      </c>
      <c r="B5" t="s">
        <v>77</v>
      </c>
      <c r="C5">
        <v>5</v>
      </c>
      <c r="D5">
        <v>5274</v>
      </c>
      <c r="E5" t="s">
        <v>97</v>
      </c>
      <c r="G5" s="62">
        <v>20000</v>
      </c>
      <c r="J5">
        <v>7</v>
      </c>
      <c r="N5" s="80"/>
      <c r="O5" s="80"/>
      <c r="P5" s="80"/>
      <c r="Q5" s="80"/>
      <c r="R5" s="80"/>
      <c r="S5" s="80"/>
      <c r="T5" s="80"/>
      <c r="U5" s="82"/>
      <c r="V5" s="80"/>
      <c r="W5" s="80"/>
    </row>
    <row r="6" spans="1:23" x14ac:dyDescent="0.25">
      <c r="A6">
        <v>10001</v>
      </c>
      <c r="B6" t="s">
        <v>77</v>
      </c>
      <c r="C6">
        <v>6</v>
      </c>
      <c r="D6">
        <v>3372</v>
      </c>
      <c r="E6" t="s">
        <v>98</v>
      </c>
      <c r="G6" s="62">
        <v>50000</v>
      </c>
      <c r="J6">
        <v>8</v>
      </c>
      <c r="N6" s="80"/>
      <c r="O6" s="80"/>
      <c r="P6" s="80"/>
      <c r="Q6" s="80"/>
      <c r="R6" s="80"/>
      <c r="S6" s="80"/>
      <c r="T6" s="80"/>
      <c r="U6" s="82"/>
      <c r="V6" s="80"/>
      <c r="W6" s="80"/>
    </row>
    <row r="7" spans="1:23" x14ac:dyDescent="0.25">
      <c r="A7">
        <v>10001</v>
      </c>
      <c r="B7" t="s">
        <v>77</v>
      </c>
      <c r="C7">
        <v>7</v>
      </c>
      <c r="D7">
        <v>1375</v>
      </c>
      <c r="E7" t="s">
        <v>102</v>
      </c>
      <c r="G7" s="62">
        <v>12000</v>
      </c>
      <c r="J7">
        <v>9</v>
      </c>
      <c r="N7" s="80"/>
      <c r="O7" s="80"/>
      <c r="P7" s="80"/>
      <c r="Q7" s="80"/>
      <c r="R7" s="80"/>
      <c r="S7" s="80"/>
      <c r="T7" s="80"/>
      <c r="U7" s="82"/>
      <c r="V7" s="80"/>
      <c r="W7" s="80"/>
    </row>
    <row r="8" spans="1:23" x14ac:dyDescent="0.25">
      <c r="A8">
        <v>10001</v>
      </c>
      <c r="B8" t="s">
        <v>77</v>
      </c>
      <c r="C8">
        <v>8</v>
      </c>
      <c r="D8">
        <v>5100</v>
      </c>
      <c r="E8" t="s">
        <v>101</v>
      </c>
      <c r="G8" s="62">
        <v>15000</v>
      </c>
      <c r="J8">
        <v>10</v>
      </c>
      <c r="U8" s="65"/>
    </row>
    <row r="9" spans="1:23" x14ac:dyDescent="0.25">
      <c r="A9">
        <v>10001</v>
      </c>
      <c r="B9" t="s">
        <v>77</v>
      </c>
      <c r="C9">
        <v>9</v>
      </c>
      <c r="D9">
        <v>9662</v>
      </c>
      <c r="E9" t="s">
        <v>100</v>
      </c>
      <c r="G9" s="62">
        <v>10000</v>
      </c>
      <c r="J9">
        <v>11</v>
      </c>
      <c r="U9" s="65"/>
    </row>
    <row r="10" spans="1:23" x14ac:dyDescent="0.25">
      <c r="U10" s="65"/>
    </row>
    <row r="11" spans="1:23" x14ac:dyDescent="0.25">
      <c r="U11" s="65"/>
    </row>
  </sheetData>
  <mergeCells count="3">
    <mergeCell ref="A1:J1"/>
    <mergeCell ref="Q1:W1"/>
    <mergeCell ref="N1:O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stomers"/>
  <dimension ref="A1:G31"/>
  <sheetViews>
    <sheetView workbookViewId="0">
      <selection activeCell="G23" sqref="G23"/>
    </sheetView>
  </sheetViews>
  <sheetFormatPr defaultRowHeight="15" x14ac:dyDescent="0.25"/>
  <cols>
    <col min="2" max="2" width="15.42578125" bestFit="1" customWidth="1"/>
    <col min="3" max="3" width="11.85546875" bestFit="1" customWidth="1"/>
    <col min="7" max="7" width="16.7109375" bestFit="1" customWidth="1"/>
  </cols>
  <sheetData>
    <row r="1" spans="1:7" x14ac:dyDescent="0.25">
      <c r="A1" s="111" t="s">
        <v>32</v>
      </c>
      <c r="B1" s="111"/>
      <c r="C1" s="111"/>
      <c r="D1" s="70"/>
      <c r="E1" s="70"/>
      <c r="F1" s="70"/>
      <c r="G1" s="79" t="s">
        <v>39</v>
      </c>
    </row>
    <row r="2" spans="1:7" x14ac:dyDescent="0.25">
      <c r="A2" s="69" t="s">
        <v>33</v>
      </c>
      <c r="B2" s="66" t="s">
        <v>34</v>
      </c>
      <c r="C2" s="69"/>
      <c r="D2" s="70"/>
      <c r="E2" s="70"/>
      <c r="F2" s="70"/>
      <c r="G2" s="79" t="s">
        <v>34</v>
      </c>
    </row>
    <row r="3" spans="1:7" x14ac:dyDescent="0.25">
      <c r="A3" s="1">
        <v>1</v>
      </c>
      <c r="B3" t="s">
        <v>814</v>
      </c>
      <c r="G3" s="77" t="s">
        <v>816</v>
      </c>
    </row>
    <row r="4" spans="1:7" x14ac:dyDescent="0.25">
      <c r="A4" s="1">
        <v>2</v>
      </c>
      <c r="B4" t="s">
        <v>815</v>
      </c>
      <c r="G4" s="77" t="s">
        <v>814</v>
      </c>
    </row>
    <row r="5" spans="1:7" x14ac:dyDescent="0.25">
      <c r="A5" s="1">
        <v>3</v>
      </c>
      <c r="B5" t="s">
        <v>816</v>
      </c>
      <c r="G5" s="77" t="s">
        <v>817</v>
      </c>
    </row>
    <row r="6" spans="1:7" x14ac:dyDescent="0.25">
      <c r="A6" s="1">
        <v>4</v>
      </c>
      <c r="B6" t="s">
        <v>817</v>
      </c>
      <c r="G6" s="77" t="s">
        <v>815</v>
      </c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</sheetData>
  <sortState ref="G3:G6">
    <sortCondition ref="G3"/>
  </sortState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endors"/>
  <dimension ref="A1:G39"/>
  <sheetViews>
    <sheetView workbookViewId="0">
      <selection activeCell="G8" sqref="G8"/>
    </sheetView>
  </sheetViews>
  <sheetFormatPr defaultRowHeight="15" x14ac:dyDescent="0.25"/>
  <cols>
    <col min="2" max="2" width="24.85546875" bestFit="1" customWidth="1"/>
    <col min="3" max="3" width="14.85546875" bestFit="1" customWidth="1"/>
    <col min="7" max="7" width="24.85546875" bestFit="1" customWidth="1"/>
  </cols>
  <sheetData>
    <row r="1" spans="1:7" x14ac:dyDescent="0.25">
      <c r="A1" s="113" t="s">
        <v>35</v>
      </c>
      <c r="B1" s="113"/>
      <c r="C1" s="113"/>
      <c r="G1" s="76" t="s">
        <v>38</v>
      </c>
    </row>
    <row r="2" spans="1:7" x14ac:dyDescent="0.25">
      <c r="A2" s="68" t="s">
        <v>36</v>
      </c>
      <c r="B2" s="68" t="s">
        <v>37</v>
      </c>
      <c r="C2" s="68"/>
      <c r="G2" s="76" t="s">
        <v>37</v>
      </c>
    </row>
    <row r="3" spans="1:7" x14ac:dyDescent="0.25">
      <c r="A3" s="1">
        <v>1</v>
      </c>
      <c r="B3" t="s">
        <v>818</v>
      </c>
      <c r="G3" s="77" t="s">
        <v>818</v>
      </c>
    </row>
    <row r="4" spans="1:7" x14ac:dyDescent="0.25">
      <c r="A4" s="1">
        <v>2</v>
      </c>
      <c r="B4" t="s">
        <v>819</v>
      </c>
      <c r="G4" s="77" t="s">
        <v>819</v>
      </c>
    </row>
    <row r="5" spans="1:7" x14ac:dyDescent="0.25">
      <c r="A5" s="1">
        <v>3</v>
      </c>
      <c r="B5" t="s">
        <v>820</v>
      </c>
      <c r="G5" s="77" t="s">
        <v>820</v>
      </c>
    </row>
    <row r="6" spans="1:7" x14ac:dyDescent="0.25">
      <c r="A6" s="1">
        <v>4</v>
      </c>
      <c r="B6" t="s">
        <v>821</v>
      </c>
      <c r="G6" s="77" t="s">
        <v>821</v>
      </c>
    </row>
    <row r="7" spans="1:7" x14ac:dyDescent="0.25">
      <c r="A7" s="1"/>
      <c r="G7" s="78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</sheetData>
  <sortState ref="G3:G6">
    <sortCondition ref="G3"/>
  </sortState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s"/>
  <dimension ref="A1:C52"/>
  <sheetViews>
    <sheetView workbookViewId="0">
      <selection activeCell="H6" sqref="H6"/>
    </sheetView>
  </sheetViews>
  <sheetFormatPr defaultRowHeight="15" x14ac:dyDescent="0.25"/>
  <cols>
    <col min="2" max="2" width="12.85546875" bestFit="1" customWidth="1"/>
  </cols>
  <sheetData>
    <row r="1" spans="1:3" x14ac:dyDescent="0.25">
      <c r="A1" s="111" t="s">
        <v>72</v>
      </c>
      <c r="B1" s="111"/>
      <c r="C1" s="111"/>
    </row>
    <row r="2" spans="1:3" x14ac:dyDescent="0.25">
      <c r="A2" s="67" t="s">
        <v>11</v>
      </c>
      <c r="B2" s="67" t="s">
        <v>71</v>
      </c>
      <c r="C2" s="67" t="s">
        <v>73</v>
      </c>
    </row>
    <row r="3" spans="1:3" x14ac:dyDescent="0.25">
      <c r="A3" s="1">
        <v>1</v>
      </c>
      <c r="B3" t="s">
        <v>93</v>
      </c>
      <c r="C3" t="s">
        <v>66</v>
      </c>
    </row>
    <row r="4" spans="1:3" x14ac:dyDescent="0.25">
      <c r="A4" s="1">
        <v>2</v>
      </c>
      <c r="B4" t="s">
        <v>92</v>
      </c>
      <c r="C4" t="s">
        <v>67</v>
      </c>
    </row>
    <row r="5" spans="1:3" x14ac:dyDescent="0.25">
      <c r="A5" s="1">
        <v>3</v>
      </c>
      <c r="B5" t="s">
        <v>91</v>
      </c>
      <c r="C5" t="s">
        <v>68</v>
      </c>
    </row>
    <row r="6" spans="1:3" x14ac:dyDescent="0.25">
      <c r="A6" s="1"/>
    </row>
    <row r="7" spans="1:3" x14ac:dyDescent="0.25">
      <c r="A7" s="1"/>
    </row>
    <row r="8" spans="1:3" x14ac:dyDescent="0.25">
      <c r="A8" s="1"/>
    </row>
    <row r="9" spans="1:3" x14ac:dyDescent="0.25">
      <c r="A9" s="1"/>
    </row>
    <row r="10" spans="1:3" x14ac:dyDescent="0.25">
      <c r="A10" s="1"/>
    </row>
    <row r="11" spans="1:3" x14ac:dyDescent="0.25">
      <c r="A11" s="1"/>
    </row>
    <row r="12" spans="1:3" x14ac:dyDescent="0.25">
      <c r="A12" s="1"/>
    </row>
    <row r="13" spans="1:3" x14ac:dyDescent="0.25">
      <c r="A13" s="1"/>
    </row>
    <row r="14" spans="1:3" x14ac:dyDescent="0.25">
      <c r="A14" s="1"/>
    </row>
    <row r="15" spans="1:3" x14ac:dyDescent="0.25">
      <c r="A15" s="1"/>
    </row>
    <row r="16" spans="1:3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19</vt:i4>
      </vt:variant>
    </vt:vector>
  </HeadingPairs>
  <TitlesOfParts>
    <vt:vector size="27" baseType="lpstr">
      <vt:lpstr>Admin</vt:lpstr>
      <vt:lpstr>POS</vt:lpstr>
      <vt:lpstr>Products</vt:lpstr>
      <vt:lpstr>Orders</vt:lpstr>
      <vt:lpstr>OrderItems</vt:lpstr>
      <vt:lpstr>Customers</vt:lpstr>
      <vt:lpstr>Vendors</vt:lpstr>
      <vt:lpstr>Users</vt:lpstr>
      <vt:lpstr>Categories</vt:lpstr>
      <vt:lpstr>OrderItems!Criteria</vt:lpstr>
      <vt:lpstr>Orders!Criteria</vt:lpstr>
      <vt:lpstr>Products!Criteria</vt:lpstr>
      <vt:lpstr>Customers!Extract</vt:lpstr>
      <vt:lpstr>OrderItems!Extract</vt:lpstr>
      <vt:lpstr>Orders!Extract</vt:lpstr>
      <vt:lpstr>Products!Extract</vt:lpstr>
      <vt:lpstr>Vendors!Extract</vt:lpstr>
      <vt:lpstr>FooterMsg</vt:lpstr>
      <vt:lpstr>POS!Print_Area</vt:lpstr>
      <vt:lpstr>Subcategory1</vt:lpstr>
      <vt:lpstr>Subcategory2</vt:lpstr>
      <vt:lpstr>Subcategory3</vt:lpstr>
      <vt:lpstr>Subcategory4</vt:lpstr>
      <vt:lpstr>Subcategory5</vt:lpstr>
      <vt:lpstr>Subcategory6</vt:lpstr>
      <vt:lpstr>TaxName</vt:lpstr>
      <vt:lpstr>TaxRate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Hatta Rajasa Manurung</dc:creator>
  <cp:lastModifiedBy>USER</cp:lastModifiedBy>
  <cp:lastPrinted>2024-07-21T11:32:53Z</cp:lastPrinted>
  <dcterms:created xsi:type="dcterms:W3CDTF">2021-07-04T05:03:30Z</dcterms:created>
  <dcterms:modified xsi:type="dcterms:W3CDTF">2024-07-22T16:46:44Z</dcterms:modified>
</cp:coreProperties>
</file>